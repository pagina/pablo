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eedores" sheetId="1" state="visible" r:id="rId3"/>
    <sheet name="Movimientos" sheetId="2" state="visible" r:id="rId4"/>
    <sheet name="Comprobante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<sst xmlns="http://schemas.openxmlformats.org/spreadsheetml/2006/main" count="199" uniqueCount="146">
  <si>
    <t xml:space="preserve">GESTORPRO — SISTEMA DE DEUDAS A PROVEEDORES</t>
  </si>
  <si>
    <t xml:space="preserve">Actualizado: 06/06/2026  |  Completar columnas en azul</t>
  </si>
  <si>
    <t xml:space="preserve">TOTAL DEUDA ($)</t>
  </si>
  <si>
    <t xml:space="preserve">TOTAL PAGADO ($)</t>
  </si>
  <si>
    <t xml:space="preserve">PENDIENTE ($)</t>
  </si>
  <si>
    <t xml:space="preserve">Nº PROVEEDORES</t>
  </si>
  <si>
    <t xml:space="preserve">CON DEUDA</t>
  </si>
  <si>
    <t xml:space="preserve">ALIAS</t>
  </si>
  <si>
    <t xml:space="preserve">NOMBRE / RAZÓN SOCIAL</t>
  </si>
  <si>
    <t xml:space="preserve">CBU / CVU / ALIAS BANCARIO</t>
  </si>
  <si>
    <t xml:space="preserve">TELÉFONO</t>
  </si>
  <si>
    <t xml:space="preserve">EMAIL</t>
  </si>
  <si>
    <t xml:space="preserve">DEUDA TOTAL ($)</t>
  </si>
  <si>
    <t xml:space="preserve">PAGADO ($)</t>
  </si>
  <si>
    <t xml:space="preserve">% PAGADO</t>
  </si>
  <si>
    <t xml:space="preserve">ESTADO</t>
  </si>
  <si>
    <t xml:space="preserve">OBSERVACIONES</t>
  </si>
  <si>
    <t xml:space="preserve">Juan Telas</t>
  </si>
  <si>
    <t xml:space="preserve">Juan Carlos Pérez</t>
  </si>
  <si>
    <t xml:space="preserve">0000003100012345678901</t>
  </si>
  <si>
    <t xml:space="preserve">11 2345-6789</t>
  </si>
  <si>
    <t xml:space="preserve">juan@email.com</t>
  </si>
  <si>
    <t xml:space="preserve">Marta Hilos</t>
  </si>
  <si>
    <t xml:space="preserve">Marta González</t>
  </si>
  <si>
    <t xml:space="preserve">martagonzalez.mp</t>
  </si>
  <si>
    <t xml:space="preserve">11 3456-7890</t>
  </si>
  <si>
    <t xml:space="preserve">42000</t>
  </si>
  <si>
    <t xml:space="preserve">Fábrica Norte</t>
  </si>
  <si>
    <t xml:space="preserve">Textil Norte S.A.</t>
  </si>
  <si>
    <t xml:space="preserve">0070099840000000500210</t>
  </si>
  <si>
    <t xml:space="preserve">11 4567-8901</t>
  </si>
  <si>
    <t xml:space="preserve">contacto@texnorte.com</t>
  </si>
  <si>
    <t xml:space="preserve">Botones y más</t>
  </si>
  <si>
    <t xml:space="preserve">Raúl Díaz</t>
  </si>
  <si>
    <t xml:space="preserve">0000077700000001234568</t>
  </si>
  <si>
    <t xml:space="preserve">11 5678-9012</t>
  </si>
  <si>
    <t xml:space="preserve">Entretela SA</t>
  </si>
  <si>
    <t xml:space="preserve">Entretela S.A.</t>
  </si>
  <si>
    <t xml:space="preserve">entretelasa.mp</t>
  </si>
  <si>
    <t xml:space="preserve">11 6789-0123</t>
  </si>
  <si>
    <t xml:space="preserve">Distribuidora Sur</t>
  </si>
  <si>
    <t xml:space="preserve">Distribuidora del Sur SRL</t>
  </si>
  <si>
    <t xml:space="preserve">0000003100098765432109</t>
  </si>
  <si>
    <t xml:space="preserve">11 7890-1234</t>
  </si>
  <si>
    <t xml:space="preserve">ventas@distribsur.com</t>
  </si>
  <si>
    <t xml:space="preserve">Pedro Cintas</t>
  </si>
  <si>
    <t xml:space="preserve">Pedro Sánchez</t>
  </si>
  <si>
    <t xml:space="preserve">pedrosanchez.cv</t>
  </si>
  <si>
    <t xml:space="preserve">11 8901-2345</t>
  </si>
  <si>
    <t xml:space="preserve">Agujas &amp; Co</t>
  </si>
  <si>
    <t xml:space="preserve">Agujas y Accesorios SRL</t>
  </si>
  <si>
    <t xml:space="preserve">0000077700000009876543</t>
  </si>
  <si>
    <t xml:space="preserve">11 9012-3456</t>
  </si>
  <si>
    <t xml:space="preserve">REGISTRO DE PAGOS Y MOVIMIENTOS</t>
  </si>
  <si>
    <t xml:space="preserve">Total pagado:</t>
  </si>
  <si>
    <t xml:space="preserve">Pagos este mes:</t>
  </si>
  <si>
    <t xml:space="preserve">Última actualización: 06/06/2026</t>
  </si>
  <si>
    <t xml:space="preserve">  💡 Columnas en AZUL = ingresar datos. Las columnas en NEGRO se calculan automáticamente.</t>
  </si>
  <si>
    <t xml:space="preserve">FECHA</t>
  </si>
  <si>
    <t xml:space="preserve">ALIAS PROVEEDOR</t>
  </si>
  <si>
    <t xml:space="preserve">NOMBRE PROVEEDOR</t>
  </si>
  <si>
    <t xml:space="preserve">TIPO DE PAGO</t>
  </si>
  <si>
    <t xml:space="preserve">MONTO PAGADO ($)</t>
  </si>
  <si>
    <t xml:space="preserve">SALDO PENDIENTE ($)</t>
  </si>
  <si>
    <t xml:space="preserve">COMPROBANTE (link)</t>
  </si>
  <si>
    <t xml:space="preserve">Pago parcial</t>
  </si>
  <si>
    <t xml:space="preserve">Adjuntar link de Drive aquí</t>
  </si>
  <si>
    <t xml:space="preserve">Transferencia Bancaria</t>
  </si>
  <si>
    <t xml:space="preserve">MP enviado</t>
  </si>
  <si>
    <t xml:space="preserve">Efectivo</t>
  </si>
  <si>
    <t xml:space="preserve">Transferencia</t>
  </si>
  <si>
    <t xml:space="preserve">Pago total</t>
  </si>
  <si>
    <t xml:space="preserve">Cancelación total</t>
  </si>
  <si>
    <t xml:space="preserve">Transferencia Banco Nación</t>
  </si>
  <si>
    <t xml:space="preserve">Cheque</t>
  </si>
  <si>
    <t xml:space="preserve">REGISTRO DE COMPROBANTES Y ARCHIVOS</t>
  </si>
  <si>
    <t xml:space="preserve">  📎 Pegá el link de Google Drive de cada comprobante. Subí los archivos a Drive y compartí como 'Cualquier persona con el link puede ver'.</t>
  </si>
  <si>
    <t xml:space="preserve">  💡 Consejo: Organizá los archivos en Drive con carpetas por proveedor. Ej: Drive/Proveedores/Juan Telas/Pagos/</t>
  </si>
  <si>
    <t xml:space="preserve">FECHA PAGO</t>
  </si>
  <si>
    <t xml:space="preserve">MONTO ($)</t>
  </si>
  <si>
    <t xml:space="preserve">TIPO COMPROBANTE</t>
  </si>
  <si>
    <t xml:space="preserve">NOMBRE DEL ARCHIVO</t>
  </si>
  <si>
    <t xml:space="preserve">LINK GOOGLE DRIVE</t>
  </si>
  <si>
    <t xml:space="preserve">Captura transferencia</t>
  </si>
  <si>
    <t xml:space="preserve">comprobante_juantelas_01062025.jpg</t>
  </si>
  <si>
    <t xml:space="preserve">https://drive.google.com/file/d/EJEMPLO1</t>
  </si>
  <si>
    <t xml:space="preserve">Transferencia BBVA</t>
  </si>
  <si>
    <t xml:space="preserve">Captura MP</t>
  </si>
  <si>
    <t xml:space="preserve">comp_fabrinanorte_01062025.jpg</t>
  </si>
  <si>
    <t xml:space="preserve">https://drive.google.com/file/d/EJEMPLO2</t>
  </si>
  <si>
    <t xml:space="preserve">MercadoPago</t>
  </si>
  <si>
    <t xml:space="preserve">comprobante_juantelas_25052025.jpg</t>
  </si>
  <si>
    <t xml:space="preserve">https://drive.google.com/file/d/EJEMPLO3</t>
  </si>
  <si>
    <t xml:space="preserve">Banco Nación</t>
  </si>
  <si>
    <t xml:space="preserve">Comprobante PDF</t>
  </si>
  <si>
    <t xml:space="preserve">cancelacion_martahilos.pdf</t>
  </si>
  <si>
    <t xml:space="preserve">https://drive.google.com/file/d/EJEMPLO4</t>
  </si>
  <si>
    <t xml:space="preserve">entretela_15052025.jpg</t>
  </si>
  <si>
    <t xml:space="preserve">https://drive.google.com/file/d/EJEMPLO5</t>
  </si>
  <si>
    <t xml:space="preserve">GESTORPRO — GUÍA DE USO</t>
  </si>
  <si>
    <t xml:space="preserve">  HOJA 1: PROVEEDORES</t>
  </si>
  <si>
    <t xml:space="preserve">Alias</t>
  </si>
  <si>
    <t xml:space="preserve">Nombre corto que usás para identificar al proveedor (ej: Juan Telas)</t>
  </si>
  <si>
    <t xml:space="preserve">Nombre</t>
  </si>
  <si>
    <t xml:space="preserve">Nombre completo o razón social</t>
  </si>
  <si>
    <t xml:space="preserve">CBU/CVU/Alias</t>
  </si>
  <si>
    <t xml:space="preserve">Datos bancarios para hacer transferencias</t>
  </si>
  <si>
    <t xml:space="preserve">Deuda Total</t>
  </si>
  <si>
    <t xml:space="preserve">Monto total que debés — ingresarlo en azul</t>
  </si>
  <si>
    <t xml:space="preserve">Pagado</t>
  </si>
  <si>
    <t xml:space="preserve">Lo que ya pagaste — se calcula solo desde Movimientos</t>
  </si>
  <si>
    <t xml:space="preserve">Pendiente</t>
  </si>
  <si>
    <t xml:space="preserve">Se calcula automáticamente: Deuda Total - Pagado</t>
  </si>
  <si>
    <t xml:space="preserve">% Pagado</t>
  </si>
  <si>
    <t xml:space="preserve">Porcentaje pagado — barra de colores automática</t>
  </si>
  <si>
    <t xml:space="preserve">Estado</t>
  </si>
  <si>
    <t xml:space="preserve">Se calcula solo: ✅ Al día / 🟡 Deuda parcial / 🔴 Con deuda</t>
  </si>
  <si>
    <t xml:space="preserve">  HOJA 2: MOVIMIENTOS</t>
  </si>
  <si>
    <t xml:space="preserve">Fecha</t>
  </si>
  <si>
    <t xml:space="preserve">Fecha en que realizaste el pago (DD/MM/AAAA)</t>
  </si>
  <si>
    <t xml:space="preserve">Alias Proveedor</t>
  </si>
  <si>
    <t xml:space="preserve">Escribí exactamente el mismo alias que en la hoja Proveedores</t>
  </si>
  <si>
    <t xml:space="preserve">Tipo de pago</t>
  </si>
  <si>
    <t xml:space="preserve">Elegí del desplegable: Pago parcial / Pago total / etc</t>
  </si>
  <si>
    <t xml:space="preserve">Monto Pagado</t>
  </si>
  <si>
    <t xml:space="preserve">Cuánto pagaste en ese movimiento</t>
  </si>
  <si>
    <t xml:space="preserve">Saldo Pendiente</t>
  </si>
  <si>
    <t xml:space="preserve">Se busca automáticamente desde la hoja Proveedores</t>
  </si>
  <si>
    <t xml:space="preserve">Comprobante</t>
  </si>
  <si>
    <t xml:space="preserve">Pegá el link de Google Drive del comprobante</t>
  </si>
  <si>
    <t xml:space="preserve">  HOJA 3: COMPROBANTES</t>
  </si>
  <si>
    <t xml:space="preserve">Subir archivo</t>
  </si>
  <si>
    <t xml:space="preserve">Subí el archivo a Google Drive → Compartir → 'Cualquier persona con el link'</t>
  </si>
  <si>
    <t xml:space="preserve">Copiar link</t>
  </si>
  <si>
    <t xml:space="preserve">Copiá el link y pegalo en la columna F de esta hoja</t>
  </si>
  <si>
    <t xml:space="preserve">Organización</t>
  </si>
  <si>
    <t xml:space="preserve">Recomendamos: Drive/GestorPRO/[Proveedor]/[Año-Mes]/archivo.jpg</t>
  </si>
  <si>
    <t xml:space="preserve">  CONSEJOS GENERALES</t>
  </si>
  <si>
    <t xml:space="preserve">Filtros</t>
  </si>
  <si>
    <t xml:space="preserve">Usá los filtros de Excel (Ctrl+Shift+L) para filtrar por proveedor o fecha</t>
  </si>
  <si>
    <t xml:space="preserve">Copias de seguridad</t>
  </si>
  <si>
    <t xml:space="preserve">Guardá el archivo en Google Drive para acceso desde el celular</t>
  </si>
  <si>
    <t xml:space="preserve">Actualizar deuda</t>
  </si>
  <si>
    <t xml:space="preserve">Cuando comprás más mercadería, actualizá la columna Deuda Total</t>
  </si>
  <si>
    <t xml:space="preserve">Imprimir</t>
  </si>
  <si>
    <t xml:space="preserve">Podés imprimir la hoja Proveedores con Ctrl+P para llevar un registro físico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</si>
</sst>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0%"/>
    <numFmt numFmtId="168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4292F"/>
      <name val="Arial"/>
      <family val="0"/>
      <charset val="1"/>
    </font>
    <font>
      <b val="true"/>
      <sz val="10"/>
      <color rgb="FF0000AA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57606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1F6FEB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9"/>
      <color rgb="FF1F6FEB"/>
      <name val="Arial"/>
      <family val="0"/>
      <charset val="1"/>
    </font>
    <font>
      <i val="true"/>
      <sz val="9"/>
      <color rgb="FF57606A"/>
      <name val="Arial"/>
      <family val="0"/>
      <charset val="1"/>
    </font>
    <font>
      <u val="single"/>
      <sz val="10"/>
      <color rgb="FF1F6FE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24292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F6FEB"/>
        <bgColor rgb="FF0066CC"/>
      </patternFill>
    </fill>
    <fill>
      <patternFill patternType="solid">
        <fgColor rgb="FF1E2330"/>
        <bgColor rgb="FF24292F"/>
      </patternFill>
    </fill>
    <fill>
      <patternFill patternType="solid">
        <fgColor rgb="FF161B22"/>
        <bgColor rgb="FF1E2330"/>
      </patternFill>
    </fill>
    <fill>
      <patternFill patternType="solid">
        <fgColor rgb="FFF6F8FA"/>
        <bgColor rgb="FFEFF6FF"/>
      </patternFill>
    </fill>
    <fill>
      <patternFill patternType="solid">
        <fgColor rgb="FFFFFFFF"/>
        <bgColor rgb="FFF6F8FA"/>
      </patternFill>
    </fill>
    <fill>
      <patternFill patternType="solid">
        <fgColor rgb="FF238636"/>
        <bgColor rgb="FF008080"/>
      </patternFill>
    </fill>
    <fill>
      <patternFill patternType="solid">
        <fgColor rgb="FFEFF6FF"/>
        <bgColor rgb="FFF6F8FA"/>
      </patternFill>
    </fill>
    <fill>
      <patternFill patternType="solid">
        <fgColor rgb="FF9E6A03"/>
        <bgColor rgb="FF993300"/>
      </patternFill>
    </fill>
    <fill>
      <patternFill patternType="solid">
        <fgColor rgb="FFCC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AA"/>
      <rgbColor rgb="FF9E6A03"/>
      <rgbColor rgb="FF800080"/>
      <rgbColor rgb="FF008080"/>
      <rgbColor rgb="FFC0C0C0"/>
      <rgbColor rgb="FF808080"/>
      <rgbColor rgb="FF9999FF"/>
      <rgbColor rgb="FFDA3633"/>
      <rgbColor rgb="FFF6F8FA"/>
      <rgbColor rgb="FFEFF6FF"/>
      <rgbColor rgb="FF660066"/>
      <rgbColor rgb="FFFF8080"/>
      <rgbColor rgb="FF0066CC"/>
      <rgbColor rgb="FFD0D7DE"/>
      <rgbColor rgb="FF0D111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7606A"/>
      <rgbColor rgb="FFAAAAAA"/>
      <rgbColor rgb="FF1E2330"/>
      <rgbColor rgb="FF238636"/>
      <rgbColor rgb="FF161B22"/>
      <rgbColor rgb="FF24292F"/>
      <rgbColor rgb="FF993300"/>
      <rgbColor rgb="FF993366"/>
      <rgbColor rgb="FF333399"/>
      <rgbColor rgb="FF2A2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3633"/>
    <pageSetUpPr fitToPage="false"/>
  </sheetPr>
  <dimension ref="A1:K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A3" s="3"/>
    </row>
    <row r="4" customFormat="false" ht="36" hidden="false" customHeight="true" outlineLevel="0" collapsed="false">
      <c r="A4" s="4" t="s">
        <v>2</v>
      </c>
      <c r="B4" s="5" t="n">
        <f aca="false">IFERROR(SUM(H5:H1000),0)</f>
        <v>350500</v>
      </c>
      <c r="C4" s="4" t="s">
        <v>3</v>
      </c>
      <c r="D4" s="5" t="n">
        <f aca="false">IFERROR(SUM(I5:I1000),0)</f>
        <v>34.667082590612</v>
      </c>
      <c r="E4" s="4" t="s">
        <v>4</v>
      </c>
      <c r="F4" s="5" t="n">
        <f aca="false">IFERROR(B4-D4,0)</f>
        <v>350465.332917409</v>
      </c>
      <c r="G4" s="4" t="s">
        <v>5</v>
      </c>
      <c r="H4" s="6" t="n">
        <f aca="false">COUNTA(A5:A1000)</f>
        <v>9</v>
      </c>
      <c r="I4" s="4" t="s">
        <v>6</v>
      </c>
      <c r="J4" s="6" t="n">
        <f aca="false">COUNTIF(K5:K1000,"Con deuda")+COUNTIF(K5:K1000,"Deuda parcial")</f>
        <v>0</v>
      </c>
    </row>
    <row r="5" customFormat="false" ht="31.5" hidden="false" customHeight="true" outlineLevel="0" collapsed="false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4</v>
      </c>
      <c r="I5" s="7" t="s">
        <v>14</v>
      </c>
      <c r="J5" s="7" t="s">
        <v>15</v>
      </c>
      <c r="K5" s="7" t="s">
        <v>16</v>
      </c>
    </row>
    <row r="6" customFormat="false" ht="21.75" hidden="false" customHeight="true" outlineLevel="0" collapsed="false">
      <c r="A6" s="8" t="s">
        <v>17</v>
      </c>
      <c r="B6" s="8" t="s">
        <v>18</v>
      </c>
      <c r="C6" s="8" t="s">
        <v>19</v>
      </c>
      <c r="D6" s="9" t="s">
        <v>20</v>
      </c>
      <c r="E6" s="8" t="s">
        <v>21</v>
      </c>
      <c r="F6" s="10" t="n">
        <v>85000</v>
      </c>
      <c r="G6" s="11" t="n">
        <v>30000</v>
      </c>
      <c r="H6" s="12" t="n">
        <f aca="false">IFERROR(F6-G6,0)</f>
        <v>55000</v>
      </c>
      <c r="I6" s="13" t="n">
        <f aca="false">IFERROR(IF(F6&gt;0,G6/F6,1),1)</f>
        <v>0.352941176470588</v>
      </c>
      <c r="J6" s="9" t="str">
        <f aca="false">IFERROR(IF(H6&lt;=0,"✅ Al día",IF(G6&gt;0,"🟡 Deuda parcial","🔴 Con deuda")),"")</f>
        <v>🟡 Deuda parcial</v>
      </c>
      <c r="K6" s="8"/>
    </row>
    <row r="7" customFormat="false" ht="21.75" hidden="false" customHeight="true" outlineLevel="0" collapsed="false">
      <c r="A7" s="14" t="s">
        <v>22</v>
      </c>
      <c r="B7" s="14" t="s">
        <v>23</v>
      </c>
      <c r="C7" s="14" t="s">
        <v>24</v>
      </c>
      <c r="D7" s="15" t="s">
        <v>25</v>
      </c>
      <c r="E7" s="14"/>
      <c r="F7" s="16" t="s">
        <v>26</v>
      </c>
      <c r="G7" s="17" t="s">
        <v>26</v>
      </c>
      <c r="H7" s="18" t="n">
        <f aca="false">IFERROR(F7-G7,0)</f>
        <v>0</v>
      </c>
      <c r="I7" s="19" t="n">
        <f aca="false">IFERROR(IF(F7&gt;0,G7/F7,1),1)</f>
        <v>1</v>
      </c>
      <c r="J7" s="15" t="str">
        <f aca="false">IFERROR(IF(H7&lt;=0,"✅ Al día",IF(G7&gt;0,"🟡 Deuda parcial","🔴 Con deuda")),"")</f>
        <v>✅ Al día</v>
      </c>
      <c r="K7" s="14"/>
    </row>
    <row r="8" customFormat="false" ht="21.75" hidden="false" customHeight="true" outlineLevel="0" collapsed="false">
      <c r="A8" s="8" t="s">
        <v>27</v>
      </c>
      <c r="B8" s="8" t="s">
        <v>28</v>
      </c>
      <c r="C8" s="8" t="s">
        <v>29</v>
      </c>
      <c r="D8" s="9" t="s">
        <v>30</v>
      </c>
      <c r="E8" s="8" t="s">
        <v>31</v>
      </c>
      <c r="F8" s="10" t="n">
        <v>120000</v>
      </c>
      <c r="G8" s="11" t="n">
        <v>20000</v>
      </c>
      <c r="H8" s="12" t="n">
        <f aca="false">IFERROR(F8-G8,0)</f>
        <v>100000</v>
      </c>
      <c r="I8" s="13" t="n">
        <f aca="false">IFERROR(IF(F8&gt;0,G8/F8,1),1)</f>
        <v>0.166666666666667</v>
      </c>
      <c r="J8" s="9" t="str">
        <f aca="false">IFERROR(IF(H8&lt;=0,"✅ Al día",IF(G8&gt;0,"🟡 Deuda parcial","🔴 Con deuda")),"")</f>
        <v>🟡 Deuda parcial</v>
      </c>
      <c r="K8" s="8"/>
    </row>
    <row r="9" customFormat="false" ht="21.75" hidden="false" customHeight="true" outlineLevel="0" collapsed="false">
      <c r="A9" s="14" t="s">
        <v>32</v>
      </c>
      <c r="B9" s="14" t="s">
        <v>33</v>
      </c>
      <c r="C9" s="14" t="s">
        <v>34</v>
      </c>
      <c r="D9" s="15" t="s">
        <v>35</v>
      </c>
      <c r="E9" s="14"/>
      <c r="F9" s="16" t="n">
        <v>15000</v>
      </c>
      <c r="G9" s="17" t="n">
        <v>0</v>
      </c>
      <c r="H9" s="18" t="n">
        <f aca="false">IFERROR(F9-G9,0)</f>
        <v>15000</v>
      </c>
      <c r="I9" s="19" t="n">
        <f aca="false">IFERROR(IF(F9&gt;0,G9/F9,1),1)</f>
        <v>0</v>
      </c>
      <c r="J9" s="15" t="str">
        <f aca="false">IFERROR(IF(H9&lt;=0,"✅ Al día",IF(G9&gt;0,"🟡 Deuda parcial","🔴 Con deuda")),"")</f>
        <v>🔴 Con deuda</v>
      </c>
      <c r="K9" s="14"/>
    </row>
    <row r="10" customFormat="false" ht="21.75" hidden="false" customHeight="true" outlineLevel="0" collapsed="false">
      <c r="A10" s="8" t="s">
        <v>36</v>
      </c>
      <c r="B10" s="8" t="s">
        <v>37</v>
      </c>
      <c r="C10" s="8" t="s">
        <v>38</v>
      </c>
      <c r="D10" s="9" t="s">
        <v>39</v>
      </c>
      <c r="E10" s="8"/>
      <c r="F10" s="10" t="n">
        <v>67500</v>
      </c>
      <c r="G10" s="11" t="n">
        <v>30000</v>
      </c>
      <c r="H10" s="12" t="n">
        <f aca="false">IFERROR(F10-G10,0)</f>
        <v>37500</v>
      </c>
      <c r="I10" s="13" t="n">
        <f aca="false">IFERROR(IF(F10&gt;0,G10/F10,1),1)</f>
        <v>0.444444444444444</v>
      </c>
      <c r="J10" s="9" t="str">
        <f aca="false">IFERROR(IF(H10&lt;=0,"✅ Al día",IF(G10&gt;0,"🟡 Deuda parcial","🔴 Con deuda")),"")</f>
        <v>🟡 Deuda parcial</v>
      </c>
      <c r="K10" s="8"/>
    </row>
    <row r="11" customFormat="false" ht="21.75" hidden="false" customHeight="true" outlineLevel="0" collapsed="false">
      <c r="A11" s="14" t="s">
        <v>40</v>
      </c>
      <c r="B11" s="14" t="s">
        <v>41</v>
      </c>
      <c r="C11" s="14" t="s">
        <v>42</v>
      </c>
      <c r="D11" s="15" t="s">
        <v>43</v>
      </c>
      <c r="E11" s="14" t="s">
        <v>44</v>
      </c>
      <c r="F11" s="16" t="n">
        <v>200000</v>
      </c>
      <c r="G11" s="17" t="n">
        <v>80000</v>
      </c>
      <c r="H11" s="18" t="n">
        <f aca="false">IFERROR(F11-G11,0)</f>
        <v>120000</v>
      </c>
      <c r="I11" s="19" t="n">
        <f aca="false">IFERROR(IF(F11&gt;0,G11/F11,1),1)</f>
        <v>0.4</v>
      </c>
      <c r="J11" s="15" t="str">
        <f aca="false">IFERROR(IF(H11&lt;=0,"✅ Al día",IF(G11&gt;0,"🟡 Deuda parcial","🔴 Con deuda")),"")</f>
        <v>🟡 Deuda parcial</v>
      </c>
      <c r="K11" s="14"/>
    </row>
    <row r="12" customFormat="false" ht="21.75" hidden="false" customHeight="true" outlineLevel="0" collapsed="false">
      <c r="A12" s="8" t="s">
        <v>45</v>
      </c>
      <c r="B12" s="8" t="s">
        <v>46</v>
      </c>
      <c r="C12" s="8" t="s">
        <v>47</v>
      </c>
      <c r="D12" s="9" t="s">
        <v>48</v>
      </c>
      <c r="E12" s="8"/>
      <c r="F12" s="10" t="n">
        <v>9500</v>
      </c>
      <c r="G12" s="11" t="n">
        <v>9500</v>
      </c>
      <c r="H12" s="12" t="n">
        <f aca="false">IFERROR(F12-G12,0)</f>
        <v>0</v>
      </c>
      <c r="I12" s="13" t="n">
        <f aca="false">IFERROR(IF(F12&gt;0,G12/F12,1),1)</f>
        <v>1</v>
      </c>
      <c r="J12" s="9" t="str">
        <f aca="false">IFERROR(IF(H12&lt;=0,"✅ Al día",IF(G12&gt;0,"🟡 Deuda parcial","🔴 Con deuda")),"")</f>
        <v>✅ Al día</v>
      </c>
      <c r="K12" s="8"/>
    </row>
    <row r="13" customFormat="false" ht="21.75" hidden="false" customHeight="true" outlineLevel="0" collapsed="false">
      <c r="A13" s="14" t="s">
        <v>49</v>
      </c>
      <c r="B13" s="14" t="s">
        <v>50</v>
      </c>
      <c r="C13" s="14" t="s">
        <v>51</v>
      </c>
      <c r="D13" s="15" t="s">
        <v>52</v>
      </c>
      <c r="E13" s="14"/>
      <c r="F13" s="16" t="n">
        <v>33000</v>
      </c>
      <c r="G13" s="17" t="n">
        <v>10000</v>
      </c>
      <c r="H13" s="18" t="n">
        <f aca="false">IFERROR(F13-G13,0)</f>
        <v>23000</v>
      </c>
      <c r="I13" s="19" t="n">
        <f aca="false">IFERROR(IF(F13&gt;0,G13/F13,1),1)</f>
        <v>0.303030303030303</v>
      </c>
      <c r="J13" s="15" t="str">
        <f aca="false">IFERROR(IF(H13&lt;=0,"✅ Al día",IF(G13&gt;0,"🟡 Deuda parcial","🔴 Con deuda")),"")</f>
        <v>🟡 Deuda parcial</v>
      </c>
      <c r="K13" s="14"/>
    </row>
    <row r="14" customFormat="false" ht="21.75" hidden="false" customHeight="true" outlineLevel="0" collapsed="false">
      <c r="A14" s="20"/>
      <c r="B14" s="20"/>
      <c r="C14" s="20"/>
      <c r="D14" s="21"/>
      <c r="E14" s="20"/>
      <c r="F14" s="22"/>
      <c r="G14" s="22"/>
      <c r="H14" s="22" t="n">
        <f aca="false">IFERROR(F14-G14,0)</f>
        <v>0</v>
      </c>
      <c r="I14" s="23" t="n">
        <f aca="false">IFERROR(IF(F14&gt;0,G14/F14,1),"")</f>
        <v>1</v>
      </c>
      <c r="J14" s="21" t="str">
        <f aca="false">IFERROR(IF(F14="","",IF(H14&lt;=0,"✅ Al día",IF(G14&gt;0,"🟡 Deuda parcial","🔴 Con deuda"))),"")</f>
        <v/>
      </c>
      <c r="K14" s="20"/>
    </row>
    <row r="15" customFormat="false" ht="21.75" hidden="false" customHeight="true" outlineLevel="0" collapsed="false">
      <c r="A15" s="24"/>
      <c r="B15" s="24"/>
      <c r="C15" s="24"/>
      <c r="D15" s="25"/>
      <c r="E15" s="24"/>
      <c r="F15" s="26"/>
      <c r="G15" s="26"/>
      <c r="H15" s="26" t="n">
        <f aca="false">IFERROR(F15-G15,0)</f>
        <v>0</v>
      </c>
      <c r="I15" s="27" t="n">
        <f aca="false">IFERROR(IF(F15&gt;0,G15/F15,1),"")</f>
        <v>1</v>
      </c>
      <c r="J15" s="25" t="str">
        <f aca="false">IFERROR(IF(F15="","",IF(H15&lt;=0,"✅ Al día",IF(G15&gt;0,"🟡 Deuda parcial","🔴 Con deuda"))),"")</f>
        <v/>
      </c>
      <c r="K15" s="24"/>
    </row>
    <row r="16" customFormat="false" ht="21.75" hidden="false" customHeight="true" outlineLevel="0" collapsed="false">
      <c r="A16" s="20"/>
      <c r="B16" s="20"/>
      <c r="C16" s="20"/>
      <c r="D16" s="21"/>
      <c r="E16" s="20"/>
      <c r="F16" s="22"/>
      <c r="G16" s="22"/>
      <c r="H16" s="22" t="n">
        <f aca="false">IFERROR(F16-G16,0)</f>
        <v>0</v>
      </c>
      <c r="I16" s="23" t="n">
        <f aca="false">IFERROR(IF(F16&gt;0,G16/F16,1),"")</f>
        <v>1</v>
      </c>
      <c r="J16" s="21" t="str">
        <f aca="false">IFERROR(IF(F16="","",IF(H16&lt;=0,"✅ Al día",IF(G16&gt;0,"🟡 Deuda parcial","🔴 Con deuda"))),"")</f>
        <v/>
      </c>
      <c r="K16" s="20"/>
    </row>
    <row r="17" customFormat="false" ht="21.75" hidden="false" customHeight="true" outlineLevel="0" collapsed="false">
      <c r="A17" s="24"/>
      <c r="B17" s="24"/>
      <c r="C17" s="24"/>
      <c r="D17" s="25"/>
      <c r="E17" s="24"/>
      <c r="F17" s="26"/>
      <c r="G17" s="26"/>
      <c r="H17" s="26" t="n">
        <f aca="false">IFERROR(F17-G17,0)</f>
        <v>0</v>
      </c>
      <c r="I17" s="27" t="n">
        <f aca="false">IFERROR(IF(F17&gt;0,G17/F17,1),"")</f>
        <v>1</v>
      </c>
      <c r="J17" s="25" t="str">
        <f aca="false">IFERROR(IF(F17="","",IF(H17&lt;=0,"✅ Al día",IF(G17&gt;0,"🟡 Deuda parcial","🔴 Con deuda"))),"")</f>
        <v/>
      </c>
      <c r="K17" s="24"/>
    </row>
    <row r="18" customFormat="false" ht="21.75" hidden="false" customHeight="true" outlineLevel="0" collapsed="false">
      <c r="A18" s="20"/>
      <c r="B18" s="20"/>
      <c r="C18" s="20"/>
      <c r="D18" s="21"/>
      <c r="E18" s="20"/>
      <c r="F18" s="22"/>
      <c r="G18" s="22"/>
      <c r="H18" s="22" t="n">
        <f aca="false">IFERROR(F18-G18,0)</f>
        <v>0</v>
      </c>
      <c r="I18" s="23" t="n">
        <f aca="false">IFERROR(IF(F18&gt;0,G18/F18,1),"")</f>
        <v>1</v>
      </c>
      <c r="J18" s="21" t="str">
        <f aca="false">IFERROR(IF(F18="","",IF(H18&lt;=0,"✅ Al día",IF(G18&gt;0,"🟡 Deuda parcial","🔴 Con deuda"))),"")</f>
        <v/>
      </c>
      <c r="K18" s="20"/>
    </row>
    <row r="19" customFormat="false" ht="21.75" hidden="false" customHeight="true" outlineLevel="0" collapsed="false">
      <c r="A19" s="24"/>
      <c r="B19" s="24"/>
      <c r="C19" s="24"/>
      <c r="D19" s="25"/>
      <c r="E19" s="24"/>
      <c r="F19" s="26"/>
      <c r="G19" s="26"/>
      <c r="H19" s="26" t="n">
        <f aca="false">IFERROR(F19-G19,0)</f>
        <v>0</v>
      </c>
      <c r="I19" s="27" t="n">
        <f aca="false">IFERROR(IF(F19&gt;0,G19/F19,1),"")</f>
        <v>1</v>
      </c>
      <c r="J19" s="25" t="str">
        <f aca="false">IFERROR(IF(F19="","",IF(H19&lt;=0,"✅ Al día",IF(G19&gt;0,"🟡 Deuda parcial","🔴 Con deuda"))),"")</f>
        <v/>
      </c>
      <c r="K19" s="24"/>
    </row>
    <row r="20" customFormat="false" ht="21.75" hidden="false" customHeight="true" outlineLevel="0" collapsed="false">
      <c r="A20" s="20"/>
      <c r="B20" s="20"/>
      <c r="C20" s="20"/>
      <c r="D20" s="21"/>
      <c r="E20" s="20"/>
      <c r="F20" s="22"/>
      <c r="G20" s="22"/>
      <c r="H20" s="22" t="n">
        <f aca="false">IFERROR(F20-G20,0)</f>
        <v>0</v>
      </c>
      <c r="I20" s="23" t="n">
        <f aca="false">IFERROR(IF(F20&gt;0,G20/F20,1),"")</f>
        <v>1</v>
      </c>
      <c r="J20" s="21" t="str">
        <f aca="false">IFERROR(IF(F20="","",IF(H20&lt;=0,"✅ Al día",IF(G20&gt;0,"🟡 Deuda parcial","🔴 Con deuda"))),"")</f>
        <v/>
      </c>
      <c r="K20" s="20"/>
    </row>
    <row r="21" customFormat="false" ht="21.75" hidden="false" customHeight="true" outlineLevel="0" collapsed="false">
      <c r="A21" s="24"/>
      <c r="B21" s="24"/>
      <c r="C21" s="24"/>
      <c r="D21" s="25"/>
      <c r="E21" s="24"/>
      <c r="F21" s="26"/>
      <c r="G21" s="26"/>
      <c r="H21" s="26" t="n">
        <f aca="false">IFERROR(F21-G21,0)</f>
        <v>0</v>
      </c>
      <c r="I21" s="27" t="n">
        <f aca="false">IFERROR(IF(F21&gt;0,G21/F21,1),"")</f>
        <v>1</v>
      </c>
      <c r="J21" s="25" t="str">
        <f aca="false">IFERROR(IF(F21="","",IF(H21&lt;=0,"✅ Al día",IF(G21&gt;0,"🟡 Deuda parcial","🔴 Con deuda"))),"")</f>
        <v/>
      </c>
      <c r="K21" s="24"/>
    </row>
    <row r="22" customFormat="false" ht="21.75" hidden="false" customHeight="true" outlineLevel="0" collapsed="false">
      <c r="A22" s="20"/>
      <c r="B22" s="20"/>
      <c r="C22" s="20"/>
      <c r="D22" s="21"/>
      <c r="E22" s="20"/>
      <c r="F22" s="22"/>
      <c r="G22" s="22"/>
      <c r="H22" s="22" t="n">
        <f aca="false">IFERROR(F22-G22,0)</f>
        <v>0</v>
      </c>
      <c r="I22" s="23" t="n">
        <f aca="false">IFERROR(IF(F22&gt;0,G22/F22,1),"")</f>
        <v>1</v>
      </c>
      <c r="J22" s="21" t="str">
        <f aca="false">IFERROR(IF(F22="","",IF(H22&lt;=0,"✅ Al día",IF(G22&gt;0,"🟡 Deuda parcial","🔴 Con deuda"))),"")</f>
        <v/>
      </c>
      <c r="K22" s="20"/>
    </row>
    <row r="23" customFormat="false" ht="21.75" hidden="false" customHeight="true" outlineLevel="0" collapsed="false">
      <c r="A23" s="24"/>
      <c r="B23" s="24"/>
      <c r="C23" s="24"/>
      <c r="D23" s="25"/>
      <c r="E23" s="24"/>
      <c r="F23" s="26"/>
      <c r="G23" s="26"/>
      <c r="H23" s="26" t="n">
        <f aca="false">IFERROR(F23-G23,0)</f>
        <v>0</v>
      </c>
      <c r="I23" s="27" t="n">
        <f aca="false">IFERROR(IF(F23&gt;0,G23/F23,1),"")</f>
        <v>1</v>
      </c>
      <c r="J23" s="25" t="str">
        <f aca="false">IFERROR(IF(F23="","",IF(H23&lt;=0,"✅ Al día",IF(G23&gt;0,"🟡 Deuda parcial","🔴 Con deuda"))),"")</f>
        <v/>
      </c>
      <c r="K23" s="24"/>
    </row>
    <row r="24" customFormat="false" ht="21.75" hidden="false" customHeight="true" outlineLevel="0" collapsed="false">
      <c r="A24" s="20"/>
      <c r="B24" s="20"/>
      <c r="C24" s="20"/>
      <c r="D24" s="21"/>
      <c r="E24" s="20"/>
      <c r="F24" s="22"/>
      <c r="G24" s="22"/>
      <c r="H24" s="22" t="n">
        <f aca="false">IFERROR(F24-G24,0)</f>
        <v>0</v>
      </c>
      <c r="I24" s="23" t="n">
        <f aca="false">IFERROR(IF(F24&gt;0,G24/F24,1),"")</f>
        <v>1</v>
      </c>
      <c r="J24" s="21" t="str">
        <f aca="false">IFERROR(IF(F24="","",IF(H24&lt;=0,"✅ Al día",IF(G24&gt;0,"🟡 Deuda parcial","🔴 Con deuda"))),"")</f>
        <v/>
      </c>
      <c r="K24" s="20"/>
    </row>
    <row r="25" customFormat="false" ht="21.75" hidden="false" customHeight="true" outlineLevel="0" collapsed="false">
      <c r="A25" s="24"/>
      <c r="B25" s="24"/>
      <c r="C25" s="24"/>
      <c r="D25" s="25"/>
      <c r="E25" s="24"/>
      <c r="F25" s="26"/>
      <c r="G25" s="26"/>
      <c r="H25" s="26" t="n">
        <f aca="false">IFERROR(F25-G25,0)</f>
        <v>0</v>
      </c>
      <c r="I25" s="27" t="n">
        <f aca="false">IFERROR(IF(F25&gt;0,G25/F25,1),"")</f>
        <v>1</v>
      </c>
      <c r="J25" s="25" t="str">
        <f aca="false">IFERROR(IF(F25="","",IF(H25&lt;=0,"✅ Al día",IF(G25&gt;0,"🟡 Deuda parcial","🔴 Con deuda"))),"")</f>
        <v/>
      </c>
      <c r="K25" s="24"/>
    </row>
    <row r="26" customFormat="false" ht="21.75" hidden="false" customHeight="true" outlineLevel="0" collapsed="false">
      <c r="A26" s="20"/>
      <c r="B26" s="20"/>
      <c r="C26" s="20"/>
      <c r="D26" s="21"/>
      <c r="E26" s="20"/>
      <c r="F26" s="22"/>
      <c r="G26" s="22"/>
      <c r="H26" s="22" t="n">
        <f aca="false">IFERROR(F26-G26,0)</f>
        <v>0</v>
      </c>
      <c r="I26" s="23" t="n">
        <f aca="false">IFERROR(IF(F26&gt;0,G26/F26,1),"")</f>
        <v>1</v>
      </c>
      <c r="J26" s="21" t="str">
        <f aca="false">IFERROR(IF(F26="","",IF(H26&lt;=0,"✅ Al día",IF(G26&gt;0,"🟡 Deuda parcial","🔴 Con deuda"))),"")</f>
        <v/>
      </c>
      <c r="K26" s="20"/>
    </row>
    <row r="27" customFormat="false" ht="21.75" hidden="false" customHeight="true" outlineLevel="0" collapsed="false">
      <c r="A27" s="24"/>
      <c r="B27" s="24"/>
      <c r="C27" s="24"/>
      <c r="D27" s="25"/>
      <c r="E27" s="24"/>
      <c r="F27" s="26"/>
      <c r="G27" s="26"/>
      <c r="H27" s="26" t="n">
        <f aca="false">IFERROR(F27-G27,0)</f>
        <v>0</v>
      </c>
      <c r="I27" s="27" t="n">
        <f aca="false">IFERROR(IF(F27&gt;0,G27/F27,1),"")</f>
        <v>1</v>
      </c>
      <c r="J27" s="25" t="str">
        <f aca="false">IFERROR(IF(F27="","",IF(H27&lt;=0,"✅ Al día",IF(G27&gt;0,"🟡 Deuda parcial","🔴 Con deuda"))),"")</f>
        <v/>
      </c>
      <c r="K27" s="24"/>
    </row>
    <row r="28" customFormat="false" ht="21.75" hidden="false" customHeight="true" outlineLevel="0" collapsed="false">
      <c r="A28" s="20"/>
      <c r="B28" s="20"/>
      <c r="C28" s="20"/>
      <c r="D28" s="21"/>
      <c r="E28" s="20"/>
      <c r="F28" s="22"/>
      <c r="G28" s="22"/>
      <c r="H28" s="22" t="n">
        <f aca="false">IFERROR(F28-G28,0)</f>
        <v>0</v>
      </c>
      <c r="I28" s="23" t="n">
        <f aca="false">IFERROR(IF(F28&gt;0,G28/F28,1),"")</f>
        <v>1</v>
      </c>
      <c r="J28" s="21" t="str">
        <f aca="false">IFERROR(IF(F28="","",IF(H28&lt;=0,"✅ Al día",IF(G28&gt;0,"🟡 Deuda parcial","🔴 Con deuda"))),"")</f>
        <v/>
      </c>
      <c r="K28" s="20"/>
    </row>
    <row r="29" customFormat="false" ht="21.75" hidden="false" customHeight="true" outlineLevel="0" collapsed="false">
      <c r="A29" s="24"/>
      <c r="B29" s="24"/>
      <c r="C29" s="24"/>
      <c r="D29" s="25"/>
      <c r="E29" s="24"/>
      <c r="F29" s="26"/>
      <c r="G29" s="26"/>
      <c r="H29" s="26" t="n">
        <f aca="false">IFERROR(F29-G29,0)</f>
        <v>0</v>
      </c>
      <c r="I29" s="27" t="n">
        <f aca="false">IFERROR(IF(F29&gt;0,G29/F29,1),"")</f>
        <v>1</v>
      </c>
      <c r="J29" s="25" t="str">
        <f aca="false">IFERROR(IF(F29="","",IF(H29&lt;=0,"✅ Al día",IF(G29&gt;0,"🟡 Deuda parcial","🔴 Con deuda"))),"")</f>
        <v/>
      </c>
      <c r="K29" s="24"/>
    </row>
    <row r="30" customFormat="false" ht="21.75" hidden="false" customHeight="true" outlineLevel="0" collapsed="false">
      <c r="A30" s="20"/>
      <c r="B30" s="20"/>
      <c r="C30" s="20"/>
      <c r="D30" s="21"/>
      <c r="E30" s="20"/>
      <c r="F30" s="22"/>
      <c r="G30" s="22"/>
      <c r="H30" s="22" t="n">
        <f aca="false">IFERROR(F30-G30,0)</f>
        <v>0</v>
      </c>
      <c r="I30" s="23" t="n">
        <f aca="false">IFERROR(IF(F30&gt;0,G30/F30,1),"")</f>
        <v>1</v>
      </c>
      <c r="J30" s="21" t="str">
        <f aca="false">IFERROR(IF(F30="","",IF(H30&lt;=0,"✅ Al día",IF(G30&gt;0,"🟡 Deuda parcial","🔴 Con deuda"))),"")</f>
        <v/>
      </c>
      <c r="K30" s="20"/>
    </row>
    <row r="31" customFormat="false" ht="21.75" hidden="false" customHeight="true" outlineLevel="0" collapsed="false">
      <c r="A31" s="24"/>
      <c r="B31" s="24"/>
      <c r="C31" s="24"/>
      <c r="D31" s="25"/>
      <c r="E31" s="24"/>
      <c r="F31" s="26"/>
      <c r="G31" s="26"/>
      <c r="H31" s="26" t="n">
        <f aca="false">IFERROR(F31-G31,0)</f>
        <v>0</v>
      </c>
      <c r="I31" s="27" t="n">
        <f aca="false">IFERROR(IF(F31&gt;0,G31/F31,1),"")</f>
        <v>1</v>
      </c>
      <c r="J31" s="25" t="str">
        <f aca="false">IFERROR(IF(F31="","",IF(H31&lt;=0,"✅ Al día",IF(G31&gt;0,"🟡 Deuda parcial","🔴 Con deuda"))),"")</f>
        <v/>
      </c>
      <c r="K31" s="24"/>
    </row>
    <row r="32" customFormat="false" ht="21.75" hidden="false" customHeight="true" outlineLevel="0" collapsed="false">
      <c r="A32" s="20"/>
      <c r="B32" s="20"/>
      <c r="C32" s="20"/>
      <c r="D32" s="21"/>
      <c r="E32" s="20"/>
      <c r="F32" s="22"/>
      <c r="G32" s="22"/>
      <c r="H32" s="22" t="n">
        <f aca="false">IFERROR(F32-G32,0)</f>
        <v>0</v>
      </c>
      <c r="I32" s="23" t="n">
        <f aca="false">IFERROR(IF(F32&gt;0,G32/F32,1),"")</f>
        <v>1</v>
      </c>
      <c r="J32" s="21" t="str">
        <f aca="false">IFERROR(IF(F32="","",IF(H32&lt;=0,"✅ Al día",IF(G32&gt;0,"🟡 Deuda parcial","🔴 Con deuda"))),"")</f>
        <v/>
      </c>
      <c r="K32" s="20"/>
    </row>
    <row r="33" customFormat="false" ht="21.75" hidden="false" customHeight="true" outlineLevel="0" collapsed="false">
      <c r="A33" s="24"/>
      <c r="B33" s="24"/>
      <c r="C33" s="24"/>
      <c r="D33" s="25"/>
      <c r="E33" s="24"/>
      <c r="F33" s="26"/>
      <c r="G33" s="26"/>
      <c r="H33" s="26" t="n">
        <f aca="false">IFERROR(F33-G33,0)</f>
        <v>0</v>
      </c>
      <c r="I33" s="27" t="n">
        <f aca="false">IFERROR(IF(F33&gt;0,G33/F33,1),"")</f>
        <v>1</v>
      </c>
      <c r="J33" s="25" t="str">
        <f aca="false">IFERROR(IF(F33="","",IF(H33&lt;=0,"✅ Al día",IF(G33&gt;0,"🟡 Deuda parcial","🔴 Con deuda"))),"")</f>
        <v/>
      </c>
      <c r="K33" s="24"/>
    </row>
    <row r="34" customFormat="false" ht="21.75" hidden="false" customHeight="true" outlineLevel="0" collapsed="false">
      <c r="A34" s="20"/>
      <c r="B34" s="20"/>
      <c r="C34" s="20"/>
      <c r="D34" s="21"/>
      <c r="E34" s="20"/>
      <c r="F34" s="22"/>
      <c r="G34" s="22"/>
      <c r="H34" s="22" t="n">
        <f aca="false">IFERROR(F34-G34,0)</f>
        <v>0</v>
      </c>
      <c r="I34" s="23" t="n">
        <f aca="false">IFERROR(IF(F34&gt;0,G34/F34,1),"")</f>
        <v>1</v>
      </c>
      <c r="J34" s="21" t="str">
        <f aca="false">IFERROR(IF(F34="","",IF(H34&lt;=0,"✅ Al día",IF(G34&gt;0,"🟡 Deuda parcial","🔴 Con deuda"))),"")</f>
        <v/>
      </c>
      <c r="K34" s="20"/>
    </row>
    <row r="35" customFormat="false" ht="21.75" hidden="false" customHeight="true" outlineLevel="0" collapsed="false">
      <c r="A35" s="24"/>
      <c r="B35" s="24"/>
      <c r="C35" s="24"/>
      <c r="D35" s="25"/>
      <c r="E35" s="24"/>
      <c r="F35" s="26"/>
      <c r="G35" s="26"/>
      <c r="H35" s="26" t="n">
        <f aca="false">IFERROR(F35-G35,0)</f>
        <v>0</v>
      </c>
      <c r="I35" s="27" t="n">
        <f aca="false">IFERROR(IF(F35&gt;0,G35/F35,1),"")</f>
        <v>1</v>
      </c>
      <c r="J35" s="25" t="str">
        <f aca="false">IFERROR(IF(F35="","",IF(H35&lt;=0,"✅ Al día",IF(G35&gt;0,"🟡 Deuda parcial","🔴 Con deuda"))),"")</f>
        <v/>
      </c>
      <c r="K35" s="24"/>
    </row>
    <row r="36" customFormat="false" ht="21.75" hidden="false" customHeight="true" outlineLevel="0" collapsed="false">
      <c r="A36" s="20"/>
      <c r="B36" s="20"/>
      <c r="C36" s="20"/>
      <c r="D36" s="21"/>
      <c r="E36" s="20"/>
      <c r="F36" s="22"/>
      <c r="G36" s="22"/>
      <c r="H36" s="22" t="n">
        <f aca="false">IFERROR(F36-G36,0)</f>
        <v>0</v>
      </c>
      <c r="I36" s="23" t="n">
        <f aca="false">IFERROR(IF(F36&gt;0,G36/F36,1),"")</f>
        <v>1</v>
      </c>
      <c r="J36" s="21" t="str">
        <f aca="false">IFERROR(IF(F36="","",IF(H36&lt;=0,"✅ Al día",IF(G36&gt;0,"🟡 Deuda parcial","🔴 Con deuda"))),"")</f>
        <v/>
      </c>
      <c r="K36" s="20"/>
    </row>
    <row r="37" customFormat="false" ht="21.75" hidden="false" customHeight="true" outlineLevel="0" collapsed="false">
      <c r="A37" s="24"/>
      <c r="B37" s="24"/>
      <c r="C37" s="24"/>
      <c r="D37" s="25"/>
      <c r="E37" s="24"/>
      <c r="F37" s="26"/>
      <c r="G37" s="26"/>
      <c r="H37" s="26" t="n">
        <f aca="false">IFERROR(F37-G37,0)</f>
        <v>0</v>
      </c>
      <c r="I37" s="27" t="n">
        <f aca="false">IFERROR(IF(F37&gt;0,G37/F37,1),"")</f>
        <v>1</v>
      </c>
      <c r="J37" s="25" t="str">
        <f aca="false">IFERROR(IF(F37="","",IF(H37&lt;=0,"✅ Al día",IF(G37&gt;0,"🟡 Deuda parcial","🔴 Con deuda"))),"")</f>
        <v/>
      </c>
      <c r="K37" s="24"/>
    </row>
    <row r="38" customFormat="false" ht="21.75" hidden="false" customHeight="true" outlineLevel="0" collapsed="false">
      <c r="A38" s="20"/>
      <c r="B38" s="20"/>
      <c r="C38" s="20"/>
      <c r="D38" s="21"/>
      <c r="E38" s="20"/>
      <c r="F38" s="22"/>
      <c r="G38" s="22"/>
      <c r="H38" s="22" t="n">
        <f aca="false">IFERROR(F38-G38,0)</f>
        <v>0</v>
      </c>
      <c r="I38" s="23" t="n">
        <f aca="false">IFERROR(IF(F38&gt;0,G38/F38,1),"")</f>
        <v>1</v>
      </c>
      <c r="J38" s="21" t="str">
        <f aca="false">IFERROR(IF(F38="","",IF(H38&lt;=0,"✅ Al día",IF(G38&gt;0,"🟡 Deuda parcial","🔴 Con deuda"))),"")</f>
        <v/>
      </c>
      <c r="K38" s="20"/>
    </row>
    <row r="39" customFormat="false" ht="21.75" hidden="false" customHeight="true" outlineLevel="0" collapsed="false">
      <c r="A39" s="24"/>
      <c r="B39" s="24"/>
      <c r="C39" s="24"/>
      <c r="D39" s="25"/>
      <c r="E39" s="24"/>
      <c r="F39" s="26"/>
      <c r="G39" s="26"/>
      <c r="H39" s="26" t="n">
        <f aca="false">IFERROR(F39-G39,0)</f>
        <v>0</v>
      </c>
      <c r="I39" s="27" t="n">
        <f aca="false">IFERROR(IF(F39&gt;0,G39/F39,1),"")</f>
        <v>1</v>
      </c>
      <c r="J39" s="25" t="str">
        <f aca="false">IFERROR(IF(F39="","",IF(H39&lt;=0,"✅ Al día",IF(G39&gt;0,"🟡 Deuda parcial","🔴 Con deuda"))),"")</f>
        <v/>
      </c>
      <c r="K39" s="24"/>
    </row>
    <row r="40" customFormat="false" ht="21.75" hidden="false" customHeight="true" outlineLevel="0" collapsed="false">
      <c r="A40" s="20"/>
      <c r="B40" s="20"/>
      <c r="C40" s="20"/>
      <c r="D40" s="21"/>
      <c r="E40" s="20"/>
      <c r="F40" s="22"/>
      <c r="G40" s="22"/>
      <c r="H40" s="22" t="n">
        <f aca="false">IFERROR(F40-G40,0)</f>
        <v>0</v>
      </c>
      <c r="I40" s="23" t="n">
        <f aca="false">IFERROR(IF(F40&gt;0,G40/F40,1),"")</f>
        <v>1</v>
      </c>
      <c r="J40" s="21" t="str">
        <f aca="false">IFERROR(IF(F40="","",IF(H40&lt;=0,"✅ Al día",IF(G40&gt;0,"🟡 Deuda parcial","🔴 Con deuda"))),"")</f>
        <v/>
      </c>
      <c r="K40" s="20"/>
    </row>
    <row r="41" customFormat="false" ht="21.75" hidden="false" customHeight="true" outlineLevel="0" collapsed="false">
      <c r="A41" s="24"/>
      <c r="B41" s="24"/>
      <c r="C41" s="24"/>
      <c r="D41" s="25"/>
      <c r="E41" s="24"/>
      <c r="F41" s="26"/>
      <c r="G41" s="26"/>
      <c r="H41" s="26" t="n">
        <f aca="false">IFERROR(F41-G41,0)</f>
        <v>0</v>
      </c>
      <c r="I41" s="27" t="n">
        <f aca="false">IFERROR(IF(F41&gt;0,G41/F41,1),"")</f>
        <v>1</v>
      </c>
      <c r="J41" s="25" t="str">
        <f aca="false">IFERROR(IF(F41="","",IF(H41&lt;=0,"✅ Al día",IF(G41&gt;0,"🟡 Deuda parcial","🔴 Con deuda"))),"")</f>
        <v/>
      </c>
      <c r="K41" s="24"/>
    </row>
    <row r="42" customFormat="false" ht="21.75" hidden="false" customHeight="true" outlineLevel="0" collapsed="false">
      <c r="A42" s="20"/>
      <c r="B42" s="20"/>
      <c r="C42" s="20"/>
      <c r="D42" s="21"/>
      <c r="E42" s="20"/>
      <c r="F42" s="22"/>
      <c r="G42" s="22"/>
      <c r="H42" s="22" t="n">
        <f aca="false">IFERROR(F42-G42,0)</f>
        <v>0</v>
      </c>
      <c r="I42" s="23" t="n">
        <f aca="false">IFERROR(IF(F42&gt;0,G42/F42,1),"")</f>
        <v>1</v>
      </c>
      <c r="J42" s="21" t="str">
        <f aca="false">IFERROR(IF(F42="","",IF(H42&lt;=0,"✅ Al día",IF(G42&gt;0,"🟡 Deuda parcial","🔴 Con deuda"))),"")</f>
        <v/>
      </c>
      <c r="K42" s="20"/>
    </row>
    <row r="43" customFormat="false" ht="21.75" hidden="false" customHeight="true" outlineLevel="0" collapsed="false">
      <c r="A43" s="24"/>
      <c r="B43" s="24"/>
      <c r="C43" s="24"/>
      <c r="D43" s="25"/>
      <c r="E43" s="24"/>
      <c r="F43" s="26"/>
      <c r="G43" s="26"/>
      <c r="H43" s="26" t="n">
        <f aca="false">IFERROR(F43-G43,0)</f>
        <v>0</v>
      </c>
      <c r="I43" s="27" t="n">
        <f aca="false">IFERROR(IF(F43&gt;0,G43/F43,1),"")</f>
        <v>1</v>
      </c>
      <c r="J43" s="25" t="str">
        <f aca="false">IFERROR(IF(F43="","",IF(H43&lt;=0,"✅ Al día",IF(G43&gt;0,"🟡 Deuda parcial","🔴 Con deuda"))),"")</f>
        <v/>
      </c>
      <c r="K43" s="24"/>
    </row>
    <row r="44" customFormat="false" ht="21.75" hidden="false" customHeight="true" outlineLevel="0" collapsed="false">
      <c r="A44" s="20"/>
      <c r="B44" s="20"/>
      <c r="C44" s="20"/>
      <c r="D44" s="21"/>
      <c r="E44" s="20"/>
      <c r="F44" s="22"/>
      <c r="G44" s="22"/>
      <c r="H44" s="22" t="n">
        <f aca="false">IFERROR(F44-G44,0)</f>
        <v>0</v>
      </c>
      <c r="I44" s="23" t="n">
        <f aca="false">IFERROR(IF(F44&gt;0,G44/F44,1),"")</f>
        <v>1</v>
      </c>
      <c r="J44" s="21" t="str">
        <f aca="false">IFERROR(IF(F44="","",IF(H44&lt;=0,"✅ Al día",IF(G44&gt;0,"🟡 Deuda parcial","🔴 Con deuda"))),"")</f>
        <v/>
      </c>
      <c r="K44" s="20"/>
    </row>
  </sheetData>
  <mergeCells count="2">
    <mergeCell ref="A1:J1"/>
    <mergeCell ref="A2:J2"/>
  </mergeCells>
  <conditionalFormatting sqref="I6:I1000">
    <cfRule type="colorScale" priority="2">
      <colorScale>
        <cfvo type="num" val="0"/>
        <cfvo type="num" val="0.5"/>
        <cfvo type="num" val="1"/>
        <color rgb="FFFF4444"/>
        <color rgb="FFFFC107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636"/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28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28" t="s">
        <v>53</v>
      </c>
      <c r="B1" s="28"/>
      <c r="C1" s="28"/>
      <c r="D1" s="28"/>
      <c r="E1" s="28"/>
      <c r="F1" s="28"/>
      <c r="G1" s="28"/>
      <c r="H1" s="28"/>
    </row>
    <row r="2" customFormat="false" ht="27.75" hidden="false" customHeight="true" outlineLevel="0" collapsed="false">
      <c r="A2" s="29" t="s">
        <v>54</v>
      </c>
      <c r="B2" s="29"/>
      <c r="C2" s="30" t="n">
        <f aca="false">IFERROR(SUM(E4:E10000),0)</f>
        <v>206500</v>
      </c>
      <c r="D2" s="29" t="s">
        <v>55</v>
      </c>
      <c r="E2" s="29"/>
      <c r="F2" s="30" t="n">
        <f aca="true">IFERROR(SUMPRODUCT((MONTH(B4:B10000)=MONTH(TODAY()))*(YEAR(B4:B10000)=YEAR(TODAY()))*E4:E10000),0)</f>
        <v>0</v>
      </c>
      <c r="G2" s="31" t="s">
        <v>56</v>
      </c>
      <c r="H2" s="31"/>
    </row>
    <row r="3" customFormat="false" ht="19.5" hidden="false" customHeight="true" outlineLevel="0" collapsed="false">
      <c r="A3" s="32" t="s">
        <v>57</v>
      </c>
      <c r="B3" s="32"/>
      <c r="C3" s="32"/>
      <c r="D3" s="32"/>
      <c r="E3" s="32"/>
      <c r="F3" s="32"/>
      <c r="G3" s="32"/>
      <c r="H3" s="32"/>
    </row>
    <row r="4" customFormat="false" ht="30" hidden="false" customHeight="true" outlineLevel="0" collapsed="false">
      <c r="A4" s="7" t="s">
        <v>58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16</v>
      </c>
    </row>
    <row r="5" customFormat="false" ht="19.5" hidden="false" customHeight="true" outlineLevel="0" collapsed="false">
      <c r="A5" s="33" t="n">
        <v>45809</v>
      </c>
      <c r="B5" s="14" t="s">
        <v>17</v>
      </c>
      <c r="C5" s="14" t="s">
        <v>18</v>
      </c>
      <c r="D5" s="15" t="s">
        <v>65</v>
      </c>
      <c r="E5" s="17" t="n">
        <v>15000</v>
      </c>
      <c r="F5" s="34" t="n">
        <f aca="false">IFERROR(VLOOKUP(B5,Proveedores!$A:$H,8,0),"")</f>
        <v>55000</v>
      </c>
      <c r="G5" s="14" t="s">
        <v>66</v>
      </c>
      <c r="H5" s="14" t="s">
        <v>67</v>
      </c>
    </row>
    <row r="6" customFormat="false" ht="19.5" hidden="false" customHeight="true" outlineLevel="0" collapsed="false">
      <c r="A6" s="35" t="n">
        <v>45809</v>
      </c>
      <c r="B6" s="8" t="s">
        <v>27</v>
      </c>
      <c r="C6" s="8" t="s">
        <v>28</v>
      </c>
      <c r="D6" s="9" t="s">
        <v>65</v>
      </c>
      <c r="E6" s="11" t="n">
        <v>10000</v>
      </c>
      <c r="F6" s="36" t="n">
        <f aca="false">IFERROR(VLOOKUP(B6,Proveedores!$A:$H,8,0),"")</f>
        <v>100000</v>
      </c>
      <c r="G6" s="8" t="s">
        <v>66</v>
      </c>
      <c r="H6" s="8" t="s">
        <v>68</v>
      </c>
    </row>
    <row r="7" customFormat="false" ht="19.5" hidden="false" customHeight="true" outlineLevel="0" collapsed="false">
      <c r="A7" s="33" t="n">
        <v>45805</v>
      </c>
      <c r="B7" s="14" t="s">
        <v>32</v>
      </c>
      <c r="C7" s="14" t="s">
        <v>33</v>
      </c>
      <c r="D7" s="15" t="s">
        <v>65</v>
      </c>
      <c r="E7" s="17" t="n">
        <v>5000</v>
      </c>
      <c r="F7" s="34" t="n">
        <f aca="false">IFERROR(VLOOKUP(B7,Proveedores!$A:$H,8,0),"")</f>
        <v>15000</v>
      </c>
      <c r="G7" s="14" t="s">
        <v>66</v>
      </c>
      <c r="H7" s="14" t="s">
        <v>69</v>
      </c>
    </row>
    <row r="8" customFormat="false" ht="19.5" hidden="false" customHeight="true" outlineLevel="0" collapsed="false">
      <c r="A8" s="35" t="n">
        <v>45802</v>
      </c>
      <c r="B8" s="8" t="s">
        <v>17</v>
      </c>
      <c r="C8" s="8" t="s">
        <v>18</v>
      </c>
      <c r="D8" s="9" t="s">
        <v>65</v>
      </c>
      <c r="E8" s="11" t="n">
        <v>15000</v>
      </c>
      <c r="F8" s="36" t="n">
        <f aca="false">IFERROR(VLOOKUP(B8,Proveedores!$A:$H,8,0),"")</f>
        <v>55000</v>
      </c>
      <c r="G8" s="8" t="s">
        <v>66</v>
      </c>
      <c r="H8" s="8" t="s">
        <v>70</v>
      </c>
    </row>
    <row r="9" customFormat="false" ht="19.5" hidden="false" customHeight="true" outlineLevel="0" collapsed="false">
      <c r="A9" s="33" t="n">
        <v>45797</v>
      </c>
      <c r="B9" s="14" t="s">
        <v>22</v>
      </c>
      <c r="C9" s="14" t="s">
        <v>23</v>
      </c>
      <c r="D9" s="15" t="s">
        <v>71</v>
      </c>
      <c r="E9" s="17" t="n">
        <v>42000</v>
      </c>
      <c r="F9" s="34" t="n">
        <f aca="false">IFERROR(VLOOKUP(B9,Proveedores!$A:$H,8,0),"")</f>
        <v>0</v>
      </c>
      <c r="G9" s="14" t="s">
        <v>66</v>
      </c>
      <c r="H9" s="14" t="s">
        <v>72</v>
      </c>
    </row>
    <row r="10" customFormat="false" ht="19.5" hidden="false" customHeight="true" outlineLevel="0" collapsed="false">
      <c r="A10" s="35" t="n">
        <v>45792</v>
      </c>
      <c r="B10" s="8" t="s">
        <v>36</v>
      </c>
      <c r="C10" s="8" t="s">
        <v>37</v>
      </c>
      <c r="D10" s="9" t="s">
        <v>65</v>
      </c>
      <c r="E10" s="11" t="n">
        <v>20000</v>
      </c>
      <c r="F10" s="36" t="n">
        <f aca="false">IFERROR(VLOOKUP(B10,Proveedores!$A:$H,8,0),"")</f>
        <v>37500</v>
      </c>
      <c r="G10" s="8" t="s">
        <v>66</v>
      </c>
      <c r="H10" s="8" t="s">
        <v>73</v>
      </c>
    </row>
    <row r="11" customFormat="false" ht="19.5" hidden="false" customHeight="true" outlineLevel="0" collapsed="false">
      <c r="A11" s="33" t="n">
        <v>45787</v>
      </c>
      <c r="B11" s="14" t="s">
        <v>40</v>
      </c>
      <c r="C11" s="14" t="s">
        <v>41</v>
      </c>
      <c r="D11" s="15" t="s">
        <v>65</v>
      </c>
      <c r="E11" s="17" t="n">
        <v>50000</v>
      </c>
      <c r="F11" s="34" t="n">
        <f aca="false">IFERROR(VLOOKUP(B11,Proveedores!$A:$H,8,0),"")</f>
        <v>120000</v>
      </c>
      <c r="G11" s="14" t="s">
        <v>66</v>
      </c>
      <c r="H11" s="14" t="s">
        <v>74</v>
      </c>
    </row>
    <row r="12" customFormat="false" ht="19.5" hidden="false" customHeight="true" outlineLevel="0" collapsed="false">
      <c r="A12" s="35" t="n">
        <v>45782</v>
      </c>
      <c r="B12" s="8" t="s">
        <v>45</v>
      </c>
      <c r="C12" s="8" t="s">
        <v>46</v>
      </c>
      <c r="D12" s="9" t="s">
        <v>71</v>
      </c>
      <c r="E12" s="11" t="n">
        <v>9500</v>
      </c>
      <c r="F12" s="36" t="n">
        <f aca="false">IFERROR(VLOOKUP(B12,Proveedores!$A:$H,8,0),"")</f>
        <v>0</v>
      </c>
      <c r="G12" s="8" t="s">
        <v>66</v>
      </c>
      <c r="H12" s="8" t="s">
        <v>72</v>
      </c>
    </row>
    <row r="13" customFormat="false" ht="19.5" hidden="false" customHeight="true" outlineLevel="0" collapsed="false">
      <c r="A13" s="33" t="n">
        <v>45777</v>
      </c>
      <c r="B13" s="14" t="s">
        <v>49</v>
      </c>
      <c r="C13" s="14" t="s">
        <v>50</v>
      </c>
      <c r="D13" s="15" t="s">
        <v>65</v>
      </c>
      <c r="E13" s="17" t="n">
        <v>10000</v>
      </c>
      <c r="F13" s="34" t="n">
        <f aca="false">IFERROR(VLOOKUP(B13,Proveedores!$A:$H,8,0),"")</f>
        <v>23000</v>
      </c>
      <c r="G13" s="14" t="s">
        <v>66</v>
      </c>
      <c r="H13" s="14" t="s">
        <v>70</v>
      </c>
    </row>
    <row r="14" customFormat="false" ht="19.5" hidden="false" customHeight="true" outlineLevel="0" collapsed="false">
      <c r="A14" s="35" t="n">
        <v>45772</v>
      </c>
      <c r="B14" s="8" t="s">
        <v>40</v>
      </c>
      <c r="C14" s="8" t="s">
        <v>41</v>
      </c>
      <c r="D14" s="9" t="s">
        <v>65</v>
      </c>
      <c r="E14" s="11" t="n">
        <v>30000</v>
      </c>
      <c r="F14" s="36" t="n">
        <f aca="false">IFERROR(VLOOKUP(B14,Proveedores!$A:$H,8,0),"")</f>
        <v>120000</v>
      </c>
      <c r="G14" s="8" t="s">
        <v>66</v>
      </c>
      <c r="H14" s="8" t="s">
        <v>74</v>
      </c>
    </row>
    <row r="15" customFormat="false" ht="19.5" hidden="false" customHeight="true" outlineLevel="0" collapsed="false">
      <c r="A15" s="37"/>
      <c r="B15" s="25"/>
      <c r="C15" s="25"/>
      <c r="D15" s="25"/>
      <c r="E15" s="26"/>
      <c r="F15" s="26" t="str">
        <f aca="false">IFERROR(IF(B15="","",VLOOKUP(B15,Proveedores!$A:$H,8,0)),"")</f>
        <v/>
      </c>
      <c r="G15" s="25"/>
      <c r="H15" s="25"/>
    </row>
    <row r="16" customFormat="false" ht="19.5" hidden="false" customHeight="true" outlineLevel="0" collapsed="false">
      <c r="A16" s="38"/>
      <c r="B16" s="21"/>
      <c r="C16" s="21"/>
      <c r="D16" s="21"/>
      <c r="E16" s="22"/>
      <c r="F16" s="22" t="str">
        <f aca="false">IFERROR(IF(B16="","",VLOOKUP(B16,Proveedores!$A:$H,8,0)),"")</f>
        <v/>
      </c>
      <c r="G16" s="21"/>
      <c r="H16" s="21"/>
    </row>
    <row r="17" customFormat="false" ht="19.5" hidden="false" customHeight="true" outlineLevel="0" collapsed="false">
      <c r="A17" s="37"/>
      <c r="B17" s="25"/>
      <c r="C17" s="25"/>
      <c r="D17" s="25"/>
      <c r="E17" s="26"/>
      <c r="F17" s="26" t="str">
        <f aca="false">IFERROR(IF(B17="","",VLOOKUP(B17,Proveedores!$A:$H,8,0)),"")</f>
        <v/>
      </c>
      <c r="G17" s="25"/>
      <c r="H17" s="25"/>
    </row>
    <row r="18" customFormat="false" ht="19.5" hidden="false" customHeight="true" outlineLevel="0" collapsed="false">
      <c r="A18" s="38"/>
      <c r="B18" s="21"/>
      <c r="C18" s="21"/>
      <c r="D18" s="21"/>
      <c r="E18" s="22"/>
      <c r="F18" s="22" t="str">
        <f aca="false">IFERROR(IF(B18="","",VLOOKUP(B18,Proveedores!$A:$H,8,0)),"")</f>
        <v/>
      </c>
      <c r="G18" s="21"/>
      <c r="H18" s="21"/>
    </row>
    <row r="19" customFormat="false" ht="19.5" hidden="false" customHeight="true" outlineLevel="0" collapsed="false">
      <c r="A19" s="37"/>
      <c r="B19" s="25"/>
      <c r="C19" s="25"/>
      <c r="D19" s="25"/>
      <c r="E19" s="26"/>
      <c r="F19" s="26" t="str">
        <f aca="false">IFERROR(IF(B19="","",VLOOKUP(B19,Proveedores!$A:$H,8,0)),"")</f>
        <v/>
      </c>
      <c r="G19" s="25"/>
      <c r="H19" s="25"/>
    </row>
    <row r="20" customFormat="false" ht="19.5" hidden="false" customHeight="true" outlineLevel="0" collapsed="false">
      <c r="A20" s="38"/>
      <c r="B20" s="21"/>
      <c r="C20" s="21"/>
      <c r="D20" s="21"/>
      <c r="E20" s="22"/>
      <c r="F20" s="22" t="str">
        <f aca="false">IFERROR(IF(B20="","",VLOOKUP(B20,Proveedores!$A:$H,8,0)),"")</f>
        <v/>
      </c>
      <c r="G20" s="21"/>
      <c r="H20" s="21"/>
    </row>
    <row r="21" customFormat="false" ht="19.5" hidden="false" customHeight="true" outlineLevel="0" collapsed="false">
      <c r="A21" s="37"/>
      <c r="B21" s="25"/>
      <c r="C21" s="25"/>
      <c r="D21" s="25"/>
      <c r="E21" s="26"/>
      <c r="F21" s="26" t="str">
        <f aca="false">IFERROR(IF(B21="","",VLOOKUP(B21,Proveedores!$A:$H,8,0)),"")</f>
        <v/>
      </c>
      <c r="G21" s="25"/>
      <c r="H21" s="25"/>
    </row>
    <row r="22" customFormat="false" ht="19.5" hidden="false" customHeight="true" outlineLevel="0" collapsed="false">
      <c r="A22" s="38"/>
      <c r="B22" s="21"/>
      <c r="C22" s="21"/>
      <c r="D22" s="21"/>
      <c r="E22" s="22"/>
      <c r="F22" s="22" t="str">
        <f aca="false">IFERROR(IF(B22="","",VLOOKUP(B22,Proveedores!$A:$H,8,0)),"")</f>
        <v/>
      </c>
      <c r="G22" s="21"/>
      <c r="H22" s="21"/>
    </row>
    <row r="23" customFormat="false" ht="19.5" hidden="false" customHeight="true" outlineLevel="0" collapsed="false">
      <c r="A23" s="37"/>
      <c r="B23" s="25"/>
      <c r="C23" s="25"/>
      <c r="D23" s="25"/>
      <c r="E23" s="26"/>
      <c r="F23" s="26" t="str">
        <f aca="false">IFERROR(IF(B23="","",VLOOKUP(B23,Proveedores!$A:$H,8,0)),"")</f>
        <v/>
      </c>
      <c r="G23" s="25"/>
      <c r="H23" s="25"/>
    </row>
    <row r="24" customFormat="false" ht="19.5" hidden="false" customHeight="true" outlineLevel="0" collapsed="false">
      <c r="A24" s="38"/>
      <c r="B24" s="21"/>
      <c r="C24" s="21"/>
      <c r="D24" s="21"/>
      <c r="E24" s="22"/>
      <c r="F24" s="22" t="str">
        <f aca="false">IFERROR(IF(B24="","",VLOOKUP(B24,Proveedores!$A:$H,8,0)),"")</f>
        <v/>
      </c>
      <c r="G24" s="21"/>
      <c r="H24" s="21"/>
    </row>
    <row r="25" customFormat="false" ht="19.5" hidden="false" customHeight="true" outlineLevel="0" collapsed="false">
      <c r="A25" s="37"/>
      <c r="B25" s="25"/>
      <c r="C25" s="25"/>
      <c r="D25" s="25"/>
      <c r="E25" s="26"/>
      <c r="F25" s="26" t="str">
        <f aca="false">IFERROR(IF(B25="","",VLOOKUP(B25,Proveedores!$A:$H,8,0)),"")</f>
        <v/>
      </c>
      <c r="G25" s="25"/>
      <c r="H25" s="25"/>
    </row>
    <row r="26" customFormat="false" ht="19.5" hidden="false" customHeight="true" outlineLevel="0" collapsed="false">
      <c r="A26" s="38"/>
      <c r="B26" s="21"/>
      <c r="C26" s="21"/>
      <c r="D26" s="21"/>
      <c r="E26" s="22"/>
      <c r="F26" s="22" t="str">
        <f aca="false">IFERROR(IF(B26="","",VLOOKUP(B26,Proveedores!$A:$H,8,0)),"")</f>
        <v/>
      </c>
      <c r="G26" s="21"/>
      <c r="H26" s="21"/>
    </row>
    <row r="27" customFormat="false" ht="19.5" hidden="false" customHeight="true" outlineLevel="0" collapsed="false">
      <c r="A27" s="37"/>
      <c r="B27" s="25"/>
      <c r="C27" s="25"/>
      <c r="D27" s="25"/>
      <c r="E27" s="26"/>
      <c r="F27" s="26" t="str">
        <f aca="false">IFERROR(IF(B27="","",VLOOKUP(B27,Proveedores!$A:$H,8,0)),"")</f>
        <v/>
      </c>
      <c r="G27" s="25"/>
      <c r="H27" s="25"/>
    </row>
    <row r="28" customFormat="false" ht="19.5" hidden="false" customHeight="true" outlineLevel="0" collapsed="false">
      <c r="A28" s="38"/>
      <c r="B28" s="21"/>
      <c r="C28" s="21"/>
      <c r="D28" s="21"/>
      <c r="E28" s="22"/>
      <c r="F28" s="22" t="str">
        <f aca="false">IFERROR(IF(B28="","",VLOOKUP(B28,Proveedores!$A:$H,8,0)),"")</f>
        <v/>
      </c>
      <c r="G28" s="21"/>
      <c r="H28" s="21"/>
    </row>
    <row r="29" customFormat="false" ht="19.5" hidden="false" customHeight="true" outlineLevel="0" collapsed="false">
      <c r="A29" s="37"/>
      <c r="B29" s="25"/>
      <c r="C29" s="25"/>
      <c r="D29" s="25"/>
      <c r="E29" s="26"/>
      <c r="F29" s="26" t="str">
        <f aca="false">IFERROR(IF(B29="","",VLOOKUP(B29,Proveedores!$A:$H,8,0)),"")</f>
        <v/>
      </c>
      <c r="G29" s="25"/>
      <c r="H29" s="25"/>
    </row>
    <row r="30" customFormat="false" ht="19.5" hidden="false" customHeight="true" outlineLevel="0" collapsed="false">
      <c r="A30" s="38"/>
      <c r="B30" s="21"/>
      <c r="C30" s="21"/>
      <c r="D30" s="21"/>
      <c r="E30" s="22"/>
      <c r="F30" s="22" t="str">
        <f aca="false">IFERROR(IF(B30="","",VLOOKUP(B30,Proveedores!$A:$H,8,0)),"")</f>
        <v/>
      </c>
      <c r="G30" s="21"/>
      <c r="H30" s="21"/>
    </row>
    <row r="31" customFormat="false" ht="19.5" hidden="false" customHeight="true" outlineLevel="0" collapsed="false">
      <c r="A31" s="37"/>
      <c r="B31" s="25"/>
      <c r="C31" s="25"/>
      <c r="D31" s="25"/>
      <c r="E31" s="26"/>
      <c r="F31" s="26" t="str">
        <f aca="false">IFERROR(IF(B31="","",VLOOKUP(B31,Proveedores!$A:$H,8,0)),"")</f>
        <v/>
      </c>
      <c r="G31" s="25"/>
      <c r="H31" s="25"/>
    </row>
    <row r="32" customFormat="false" ht="19.5" hidden="false" customHeight="true" outlineLevel="0" collapsed="false">
      <c r="A32" s="38"/>
      <c r="B32" s="21"/>
      <c r="C32" s="21"/>
      <c r="D32" s="21"/>
      <c r="E32" s="22"/>
      <c r="F32" s="22" t="str">
        <f aca="false">IFERROR(IF(B32="","",VLOOKUP(B32,Proveedores!$A:$H,8,0)),"")</f>
        <v/>
      </c>
      <c r="G32" s="21"/>
      <c r="H32" s="21"/>
    </row>
    <row r="33" customFormat="false" ht="19.5" hidden="false" customHeight="true" outlineLevel="0" collapsed="false">
      <c r="A33" s="37"/>
      <c r="B33" s="25"/>
      <c r="C33" s="25"/>
      <c r="D33" s="25"/>
      <c r="E33" s="26"/>
      <c r="F33" s="26" t="str">
        <f aca="false">IFERROR(IF(B33="","",VLOOKUP(B33,Proveedores!$A:$H,8,0)),"")</f>
        <v/>
      </c>
      <c r="G33" s="25"/>
      <c r="H33" s="25"/>
    </row>
    <row r="34" customFormat="false" ht="19.5" hidden="false" customHeight="true" outlineLevel="0" collapsed="false">
      <c r="A34" s="38"/>
      <c r="B34" s="21"/>
      <c r="C34" s="21"/>
      <c r="D34" s="21"/>
      <c r="E34" s="22"/>
      <c r="F34" s="22" t="str">
        <f aca="false">IFERROR(IF(B34="","",VLOOKUP(B34,Proveedores!$A:$H,8,0)),"")</f>
        <v/>
      </c>
      <c r="G34" s="21"/>
      <c r="H34" s="21"/>
    </row>
    <row r="35" customFormat="false" ht="19.5" hidden="false" customHeight="true" outlineLevel="0" collapsed="false">
      <c r="A35" s="37"/>
      <c r="B35" s="25"/>
      <c r="C35" s="25"/>
      <c r="D35" s="25"/>
      <c r="E35" s="26"/>
      <c r="F35" s="26" t="str">
        <f aca="false">IFERROR(IF(B35="","",VLOOKUP(B35,Proveedores!$A:$H,8,0)),"")</f>
        <v/>
      </c>
      <c r="G35" s="25"/>
      <c r="H35" s="25"/>
    </row>
    <row r="36" customFormat="false" ht="19.5" hidden="false" customHeight="true" outlineLevel="0" collapsed="false">
      <c r="A36" s="38"/>
      <c r="B36" s="21"/>
      <c r="C36" s="21"/>
      <c r="D36" s="21"/>
      <c r="E36" s="22"/>
      <c r="F36" s="22" t="str">
        <f aca="false">IFERROR(IF(B36="","",VLOOKUP(B36,Proveedores!$A:$H,8,0)),"")</f>
        <v/>
      </c>
      <c r="G36" s="21"/>
      <c r="H36" s="21"/>
    </row>
    <row r="37" customFormat="false" ht="19.5" hidden="false" customHeight="true" outlineLevel="0" collapsed="false">
      <c r="A37" s="37"/>
      <c r="B37" s="25"/>
      <c r="C37" s="25"/>
      <c r="D37" s="25"/>
      <c r="E37" s="26"/>
      <c r="F37" s="26" t="str">
        <f aca="false">IFERROR(IF(B37="","",VLOOKUP(B37,Proveedores!$A:$H,8,0)),"")</f>
        <v/>
      </c>
      <c r="G37" s="25"/>
      <c r="H37" s="25"/>
    </row>
    <row r="38" customFormat="false" ht="19.5" hidden="false" customHeight="true" outlineLevel="0" collapsed="false">
      <c r="A38" s="38"/>
      <c r="B38" s="21"/>
      <c r="C38" s="21"/>
      <c r="D38" s="21"/>
      <c r="E38" s="22"/>
      <c r="F38" s="22" t="str">
        <f aca="false">IFERROR(IF(B38="","",VLOOKUP(B38,Proveedores!$A:$H,8,0)),"")</f>
        <v/>
      </c>
      <c r="G38" s="21"/>
      <c r="H38" s="21"/>
    </row>
    <row r="39" customFormat="false" ht="19.5" hidden="false" customHeight="true" outlineLevel="0" collapsed="false">
      <c r="A39" s="37"/>
      <c r="B39" s="25"/>
      <c r="C39" s="25"/>
      <c r="D39" s="25"/>
      <c r="E39" s="26"/>
      <c r="F39" s="26" t="str">
        <f aca="false">IFERROR(IF(B39="","",VLOOKUP(B39,Proveedores!$A:$H,8,0)),"")</f>
        <v/>
      </c>
      <c r="G39" s="25"/>
      <c r="H39" s="25"/>
    </row>
    <row r="40" customFormat="false" ht="19.5" hidden="false" customHeight="true" outlineLevel="0" collapsed="false">
      <c r="A40" s="38"/>
      <c r="B40" s="21"/>
      <c r="C40" s="21"/>
      <c r="D40" s="21"/>
      <c r="E40" s="22"/>
      <c r="F40" s="22" t="str">
        <f aca="false">IFERROR(IF(B40="","",VLOOKUP(B40,Proveedores!$A:$H,8,0)),"")</f>
        <v/>
      </c>
      <c r="G40" s="21"/>
      <c r="H40" s="21"/>
    </row>
    <row r="41" customFormat="false" ht="19.5" hidden="false" customHeight="true" outlineLevel="0" collapsed="false">
      <c r="A41" s="37"/>
      <c r="B41" s="25"/>
      <c r="C41" s="25"/>
      <c r="D41" s="25"/>
      <c r="E41" s="26"/>
      <c r="F41" s="26" t="str">
        <f aca="false">IFERROR(IF(B41="","",VLOOKUP(B41,Proveedores!$A:$H,8,0)),"")</f>
        <v/>
      </c>
      <c r="G41" s="25"/>
      <c r="H41" s="25"/>
    </row>
    <row r="42" customFormat="false" ht="19.5" hidden="false" customHeight="true" outlineLevel="0" collapsed="false">
      <c r="A42" s="38"/>
      <c r="B42" s="21"/>
      <c r="C42" s="21"/>
      <c r="D42" s="21"/>
      <c r="E42" s="22"/>
      <c r="F42" s="22" t="str">
        <f aca="false">IFERROR(IF(B42="","",VLOOKUP(B42,Proveedores!$A:$H,8,0)),"")</f>
        <v/>
      </c>
      <c r="G42" s="21"/>
      <c r="H42" s="21"/>
    </row>
    <row r="43" customFormat="false" ht="19.5" hidden="false" customHeight="true" outlineLevel="0" collapsed="false">
      <c r="A43" s="37"/>
      <c r="B43" s="25"/>
      <c r="C43" s="25"/>
      <c r="D43" s="25"/>
      <c r="E43" s="26"/>
      <c r="F43" s="26" t="str">
        <f aca="false">IFERROR(IF(B43="","",VLOOKUP(B43,Proveedores!$A:$H,8,0)),"")</f>
        <v/>
      </c>
      <c r="G43" s="25"/>
      <c r="H43" s="25"/>
    </row>
    <row r="44" customFormat="false" ht="19.5" hidden="false" customHeight="true" outlineLevel="0" collapsed="false">
      <c r="A44" s="38"/>
      <c r="B44" s="21"/>
      <c r="C44" s="21"/>
      <c r="D44" s="21"/>
      <c r="E44" s="22"/>
      <c r="F44" s="22" t="str">
        <f aca="false">IFERROR(IF(B44="","",VLOOKUP(B44,Proveedores!$A:$H,8,0)),"")</f>
        <v/>
      </c>
      <c r="G44" s="21"/>
      <c r="H44" s="21"/>
    </row>
    <row r="45" customFormat="false" ht="19.5" hidden="false" customHeight="true" outlineLevel="0" collapsed="false">
      <c r="A45" s="37"/>
      <c r="B45" s="25"/>
      <c r="C45" s="25"/>
      <c r="D45" s="25"/>
      <c r="E45" s="26"/>
      <c r="F45" s="26" t="str">
        <f aca="false">IFERROR(IF(B45="","",VLOOKUP(B45,Proveedores!$A:$H,8,0)),"")</f>
        <v/>
      </c>
      <c r="G45" s="25"/>
      <c r="H45" s="25"/>
    </row>
    <row r="46" customFormat="false" ht="19.5" hidden="false" customHeight="true" outlineLevel="0" collapsed="false">
      <c r="A46" s="38"/>
      <c r="B46" s="21"/>
      <c r="C46" s="21"/>
      <c r="D46" s="21"/>
      <c r="E46" s="22"/>
      <c r="F46" s="22" t="str">
        <f aca="false">IFERROR(IF(B46="","",VLOOKUP(B46,Proveedores!$A:$H,8,0)),"")</f>
        <v/>
      </c>
      <c r="G46" s="21"/>
      <c r="H46" s="21"/>
    </row>
    <row r="47" customFormat="false" ht="19.5" hidden="false" customHeight="true" outlineLevel="0" collapsed="false">
      <c r="A47" s="37"/>
      <c r="B47" s="25"/>
      <c r="C47" s="25"/>
      <c r="D47" s="25"/>
      <c r="E47" s="26"/>
      <c r="F47" s="26" t="str">
        <f aca="false">IFERROR(IF(B47="","",VLOOKUP(B47,Proveedores!$A:$H,8,0)),"")</f>
        <v/>
      </c>
      <c r="G47" s="25"/>
      <c r="H47" s="25"/>
    </row>
    <row r="48" customFormat="false" ht="19.5" hidden="false" customHeight="true" outlineLevel="0" collapsed="false">
      <c r="A48" s="38"/>
      <c r="B48" s="21"/>
      <c r="C48" s="21"/>
      <c r="D48" s="21"/>
      <c r="E48" s="22"/>
      <c r="F48" s="22" t="str">
        <f aca="false">IFERROR(IF(B48="","",VLOOKUP(B48,Proveedores!$A:$H,8,0)),"")</f>
        <v/>
      </c>
      <c r="G48" s="21"/>
      <c r="H48" s="21"/>
    </row>
    <row r="49" customFormat="false" ht="19.5" hidden="false" customHeight="true" outlineLevel="0" collapsed="false">
      <c r="A49" s="37"/>
      <c r="B49" s="25"/>
      <c r="C49" s="25"/>
      <c r="D49" s="25"/>
      <c r="E49" s="26"/>
      <c r="F49" s="26" t="str">
        <f aca="false">IFERROR(IF(B49="","",VLOOKUP(B49,Proveedores!$A:$H,8,0)),"")</f>
        <v/>
      </c>
      <c r="G49" s="25"/>
      <c r="H49" s="25"/>
    </row>
    <row r="50" customFormat="false" ht="19.5" hidden="false" customHeight="true" outlineLevel="0" collapsed="false">
      <c r="A50" s="38"/>
      <c r="B50" s="21"/>
      <c r="C50" s="21"/>
      <c r="D50" s="21"/>
      <c r="E50" s="22"/>
      <c r="F50" s="22" t="str">
        <f aca="false">IFERROR(IF(B50="","",VLOOKUP(B50,Proveedores!$A:$H,8,0)),"")</f>
        <v/>
      </c>
      <c r="G50" s="21"/>
      <c r="H50" s="21"/>
    </row>
    <row r="51" customFormat="false" ht="19.5" hidden="false" customHeight="true" outlineLevel="0" collapsed="false">
      <c r="A51" s="37"/>
      <c r="B51" s="25"/>
      <c r="C51" s="25"/>
      <c r="D51" s="25"/>
      <c r="E51" s="26"/>
      <c r="F51" s="26" t="str">
        <f aca="false">IFERROR(IF(B51="","",VLOOKUP(B51,Proveedores!$A:$H,8,0)),"")</f>
        <v/>
      </c>
      <c r="G51" s="25"/>
      <c r="H51" s="25"/>
    </row>
    <row r="52" customFormat="false" ht="19.5" hidden="false" customHeight="true" outlineLevel="0" collapsed="false">
      <c r="A52" s="38"/>
      <c r="B52" s="21"/>
      <c r="C52" s="21"/>
      <c r="D52" s="21"/>
      <c r="E52" s="22"/>
      <c r="F52" s="22" t="str">
        <f aca="false">IFERROR(IF(B52="","",VLOOKUP(B52,Proveedores!$A:$H,8,0)),"")</f>
        <v/>
      </c>
      <c r="G52" s="21"/>
      <c r="H52" s="21"/>
    </row>
    <row r="53" customFormat="false" ht="19.5" hidden="false" customHeight="true" outlineLevel="0" collapsed="false">
      <c r="A53" s="37"/>
      <c r="B53" s="25"/>
      <c r="C53" s="25"/>
      <c r="D53" s="25"/>
      <c r="E53" s="26"/>
      <c r="F53" s="26" t="str">
        <f aca="false">IFERROR(IF(B53="","",VLOOKUP(B53,Proveedores!$A:$H,8,0)),"")</f>
        <v/>
      </c>
      <c r="G53" s="25"/>
      <c r="H53" s="25"/>
    </row>
    <row r="54" customFormat="false" ht="19.5" hidden="false" customHeight="true" outlineLevel="0" collapsed="false">
      <c r="A54" s="38"/>
      <c r="B54" s="21"/>
      <c r="C54" s="21"/>
      <c r="D54" s="21"/>
      <c r="E54" s="22"/>
      <c r="F54" s="22" t="str">
        <f aca="false">IFERROR(IF(B54="","",VLOOKUP(B54,Proveedores!$A:$H,8,0)),"")</f>
        <v/>
      </c>
      <c r="G54" s="21"/>
      <c r="H54" s="21"/>
    </row>
    <row r="55" customFormat="false" ht="19.5" hidden="false" customHeight="true" outlineLevel="0" collapsed="false">
      <c r="A55" s="37"/>
      <c r="B55" s="25"/>
      <c r="C55" s="25"/>
      <c r="D55" s="25"/>
      <c r="E55" s="26"/>
      <c r="F55" s="26" t="str">
        <f aca="false">IFERROR(IF(B55="","",VLOOKUP(B55,Proveedores!$A:$H,8,0)),"")</f>
        <v/>
      </c>
      <c r="G55" s="25"/>
      <c r="H55" s="25"/>
    </row>
    <row r="56" customFormat="false" ht="19.5" hidden="false" customHeight="true" outlineLevel="0" collapsed="false">
      <c r="A56" s="38"/>
      <c r="B56" s="21"/>
      <c r="C56" s="21"/>
      <c r="D56" s="21"/>
      <c r="E56" s="22"/>
      <c r="F56" s="22" t="str">
        <f aca="false">IFERROR(IF(B56="","",VLOOKUP(B56,Proveedores!$A:$H,8,0)),"")</f>
        <v/>
      </c>
      <c r="G56" s="21"/>
      <c r="H56" s="21"/>
    </row>
    <row r="57" customFormat="false" ht="19.5" hidden="false" customHeight="true" outlineLevel="0" collapsed="false">
      <c r="A57" s="37"/>
      <c r="B57" s="25"/>
      <c r="C57" s="25"/>
      <c r="D57" s="25"/>
      <c r="E57" s="26"/>
      <c r="F57" s="26" t="str">
        <f aca="false">IFERROR(IF(B57="","",VLOOKUP(B57,Proveedores!$A:$H,8,0)),"")</f>
        <v/>
      </c>
      <c r="G57" s="25"/>
      <c r="H57" s="25"/>
    </row>
    <row r="58" customFormat="false" ht="19.5" hidden="false" customHeight="true" outlineLevel="0" collapsed="false">
      <c r="A58" s="38"/>
      <c r="B58" s="21"/>
      <c r="C58" s="21"/>
      <c r="D58" s="21"/>
      <c r="E58" s="22"/>
      <c r="F58" s="22" t="str">
        <f aca="false">IFERROR(IF(B58="","",VLOOKUP(B58,Proveedores!$A:$H,8,0)),"")</f>
        <v/>
      </c>
      <c r="G58" s="21"/>
      <c r="H58" s="21"/>
    </row>
    <row r="59" customFormat="false" ht="19.5" hidden="false" customHeight="true" outlineLevel="0" collapsed="false">
      <c r="A59" s="37"/>
      <c r="B59" s="25"/>
      <c r="C59" s="25"/>
      <c r="D59" s="25"/>
      <c r="E59" s="26"/>
      <c r="F59" s="26" t="str">
        <f aca="false">IFERROR(IF(B59="","",VLOOKUP(B59,Proveedores!$A:$H,8,0)),"")</f>
        <v/>
      </c>
      <c r="G59" s="25"/>
      <c r="H59" s="25"/>
    </row>
    <row r="60" customFormat="false" ht="19.5" hidden="false" customHeight="true" outlineLevel="0" collapsed="false">
      <c r="A60" s="38"/>
      <c r="B60" s="21"/>
      <c r="C60" s="21"/>
      <c r="D60" s="21"/>
      <c r="E60" s="22"/>
      <c r="F60" s="22" t="str">
        <f aca="false">IFERROR(IF(B60="","",VLOOKUP(B60,Proveedores!$A:$H,8,0)),"")</f>
        <v/>
      </c>
      <c r="G60" s="21"/>
      <c r="H60" s="21"/>
    </row>
    <row r="61" customFormat="false" ht="19.5" hidden="false" customHeight="true" outlineLevel="0" collapsed="false">
      <c r="A61" s="37"/>
      <c r="B61" s="25"/>
      <c r="C61" s="25"/>
      <c r="D61" s="25"/>
      <c r="E61" s="26"/>
      <c r="F61" s="26" t="str">
        <f aca="false">IFERROR(IF(B61="","",VLOOKUP(B61,Proveedores!$A:$H,8,0)),"")</f>
        <v/>
      </c>
      <c r="G61" s="25"/>
      <c r="H61" s="25"/>
    </row>
    <row r="62" customFormat="false" ht="19.5" hidden="false" customHeight="true" outlineLevel="0" collapsed="false">
      <c r="A62" s="38"/>
      <c r="B62" s="21"/>
      <c r="C62" s="21"/>
      <c r="D62" s="21"/>
      <c r="E62" s="22"/>
      <c r="F62" s="22" t="str">
        <f aca="false">IFERROR(IF(B62="","",VLOOKUP(B62,Proveedores!$A:$H,8,0)),"")</f>
        <v/>
      </c>
      <c r="G62" s="21"/>
      <c r="H62" s="21"/>
    </row>
    <row r="63" customFormat="false" ht="19.5" hidden="false" customHeight="true" outlineLevel="0" collapsed="false">
      <c r="A63" s="37"/>
      <c r="B63" s="25"/>
      <c r="C63" s="25"/>
      <c r="D63" s="25"/>
      <c r="E63" s="26"/>
      <c r="F63" s="26" t="str">
        <f aca="false">IFERROR(IF(B63="","",VLOOKUP(B63,Proveedores!$A:$H,8,0)),"")</f>
        <v/>
      </c>
      <c r="G63" s="25"/>
      <c r="H63" s="25"/>
    </row>
    <row r="64" customFormat="false" ht="19.5" hidden="false" customHeight="true" outlineLevel="0" collapsed="false">
      <c r="A64" s="38"/>
      <c r="B64" s="21"/>
      <c r="C64" s="21"/>
      <c r="D64" s="21"/>
      <c r="E64" s="22"/>
      <c r="F64" s="22" t="str">
        <f aca="false">IFERROR(IF(B64="","",VLOOKUP(B64,Proveedores!$A:$H,8,0)),"")</f>
        <v/>
      </c>
      <c r="G64" s="21"/>
      <c r="H64" s="21"/>
    </row>
    <row r="65" customFormat="false" ht="19.5" hidden="false" customHeight="true" outlineLevel="0" collapsed="false">
      <c r="A65" s="37"/>
      <c r="B65" s="25"/>
      <c r="C65" s="25"/>
      <c r="D65" s="25"/>
      <c r="E65" s="26"/>
      <c r="F65" s="26" t="str">
        <f aca="false">IFERROR(IF(B65="","",VLOOKUP(B65,Proveedores!$A:$H,8,0)),"")</f>
        <v/>
      </c>
      <c r="G65" s="25"/>
      <c r="H65" s="25"/>
    </row>
    <row r="66" customFormat="false" ht="19.5" hidden="false" customHeight="true" outlineLevel="0" collapsed="false">
      <c r="A66" s="38"/>
      <c r="B66" s="21"/>
      <c r="C66" s="21"/>
      <c r="D66" s="21"/>
      <c r="E66" s="22"/>
      <c r="F66" s="22" t="str">
        <f aca="false">IFERROR(IF(B66="","",VLOOKUP(B66,Proveedores!$A:$H,8,0)),"")</f>
        <v/>
      </c>
      <c r="G66" s="21"/>
      <c r="H66" s="21"/>
    </row>
    <row r="67" customFormat="false" ht="19.5" hidden="false" customHeight="true" outlineLevel="0" collapsed="false">
      <c r="A67" s="37"/>
      <c r="B67" s="25"/>
      <c r="C67" s="25"/>
      <c r="D67" s="25"/>
      <c r="E67" s="26"/>
      <c r="F67" s="26" t="str">
        <f aca="false">IFERROR(IF(B67="","",VLOOKUP(B67,Proveedores!$A:$H,8,0)),"")</f>
        <v/>
      </c>
      <c r="G67" s="25"/>
      <c r="H67" s="25"/>
    </row>
    <row r="68" customFormat="false" ht="19.5" hidden="false" customHeight="true" outlineLevel="0" collapsed="false">
      <c r="A68" s="38"/>
      <c r="B68" s="21"/>
      <c r="C68" s="21"/>
      <c r="D68" s="21"/>
      <c r="E68" s="22"/>
      <c r="F68" s="22" t="str">
        <f aca="false">IFERROR(IF(B68="","",VLOOKUP(B68,Proveedores!$A:$H,8,0)),"")</f>
        <v/>
      </c>
      <c r="G68" s="21"/>
      <c r="H68" s="21"/>
    </row>
    <row r="69" customFormat="false" ht="19.5" hidden="false" customHeight="true" outlineLevel="0" collapsed="false">
      <c r="A69" s="37"/>
      <c r="B69" s="25"/>
      <c r="C69" s="25"/>
      <c r="D69" s="25"/>
      <c r="E69" s="26"/>
      <c r="F69" s="26" t="str">
        <f aca="false">IFERROR(IF(B69="","",VLOOKUP(B69,Proveedores!$A:$H,8,0)),"")</f>
        <v/>
      </c>
      <c r="G69" s="25"/>
      <c r="H69" s="25"/>
    </row>
    <row r="70" customFormat="false" ht="19.5" hidden="false" customHeight="true" outlineLevel="0" collapsed="false">
      <c r="A70" s="38"/>
      <c r="B70" s="21"/>
      <c r="C70" s="21"/>
      <c r="D70" s="21"/>
      <c r="E70" s="22"/>
      <c r="F70" s="22" t="str">
        <f aca="false">IFERROR(IF(B70="","",VLOOKUP(B70,Proveedores!$A:$H,8,0)),"")</f>
        <v/>
      </c>
      <c r="G70" s="21"/>
      <c r="H70" s="21"/>
    </row>
    <row r="71" customFormat="false" ht="19.5" hidden="false" customHeight="true" outlineLevel="0" collapsed="false">
      <c r="A71" s="37"/>
      <c r="B71" s="25"/>
      <c r="C71" s="25"/>
      <c r="D71" s="25"/>
      <c r="E71" s="26"/>
      <c r="F71" s="26" t="str">
        <f aca="false">IFERROR(IF(B71="","",VLOOKUP(B71,Proveedores!$A:$H,8,0)),"")</f>
        <v/>
      </c>
      <c r="G71" s="25"/>
      <c r="H71" s="25"/>
    </row>
    <row r="72" customFormat="false" ht="19.5" hidden="false" customHeight="true" outlineLevel="0" collapsed="false">
      <c r="A72" s="38"/>
      <c r="B72" s="21"/>
      <c r="C72" s="21"/>
      <c r="D72" s="21"/>
      <c r="E72" s="22"/>
      <c r="F72" s="22" t="str">
        <f aca="false">IFERROR(IF(B72="","",VLOOKUP(B72,Proveedores!$A:$H,8,0)),"")</f>
        <v/>
      </c>
      <c r="G72" s="21"/>
      <c r="H72" s="21"/>
    </row>
    <row r="73" customFormat="false" ht="19.5" hidden="false" customHeight="true" outlineLevel="0" collapsed="false">
      <c r="A73" s="37"/>
      <c r="B73" s="25"/>
      <c r="C73" s="25"/>
      <c r="D73" s="25"/>
      <c r="E73" s="26"/>
      <c r="F73" s="26" t="str">
        <f aca="false">IFERROR(IF(B73="","",VLOOKUP(B73,Proveedores!$A:$H,8,0)),"")</f>
        <v/>
      </c>
      <c r="G73" s="25"/>
      <c r="H73" s="25"/>
    </row>
    <row r="74" customFormat="false" ht="19.5" hidden="false" customHeight="true" outlineLevel="0" collapsed="false">
      <c r="A74" s="38"/>
      <c r="B74" s="21"/>
      <c r="C74" s="21"/>
      <c r="D74" s="21"/>
      <c r="E74" s="22"/>
      <c r="F74" s="22" t="str">
        <f aca="false">IFERROR(IF(B74="","",VLOOKUP(B74,Proveedores!$A:$H,8,0)),"")</f>
        <v/>
      </c>
      <c r="G74" s="21"/>
      <c r="H74" s="21"/>
    </row>
    <row r="75" customFormat="false" ht="19.5" hidden="false" customHeight="true" outlineLevel="0" collapsed="false">
      <c r="A75" s="37"/>
      <c r="B75" s="25"/>
      <c r="C75" s="25"/>
      <c r="D75" s="25"/>
      <c r="E75" s="26"/>
      <c r="F75" s="26" t="str">
        <f aca="false">IFERROR(IF(B75="","",VLOOKUP(B75,Proveedores!$A:$H,8,0)),"")</f>
        <v/>
      </c>
      <c r="G75" s="25"/>
      <c r="H75" s="25"/>
    </row>
    <row r="76" customFormat="false" ht="19.5" hidden="false" customHeight="true" outlineLevel="0" collapsed="false">
      <c r="A76" s="38"/>
      <c r="B76" s="21"/>
      <c r="C76" s="21"/>
      <c r="D76" s="21"/>
      <c r="E76" s="22"/>
      <c r="F76" s="22" t="str">
        <f aca="false">IFERROR(IF(B76="","",VLOOKUP(B76,Proveedores!$A:$H,8,0)),"")</f>
        <v/>
      </c>
      <c r="G76" s="21"/>
      <c r="H76" s="21"/>
    </row>
    <row r="77" customFormat="false" ht="19.5" hidden="false" customHeight="true" outlineLevel="0" collapsed="false">
      <c r="A77" s="37"/>
      <c r="B77" s="25"/>
      <c r="C77" s="25"/>
      <c r="D77" s="25"/>
      <c r="E77" s="26"/>
      <c r="F77" s="26" t="str">
        <f aca="false">IFERROR(IF(B77="","",VLOOKUP(B77,Proveedores!$A:$H,8,0)),"")</f>
        <v/>
      </c>
      <c r="G77" s="25"/>
      <c r="H77" s="25"/>
    </row>
    <row r="78" customFormat="false" ht="19.5" hidden="false" customHeight="true" outlineLevel="0" collapsed="false">
      <c r="A78" s="38"/>
      <c r="B78" s="21"/>
      <c r="C78" s="21"/>
      <c r="D78" s="21"/>
      <c r="E78" s="22"/>
      <c r="F78" s="22" t="str">
        <f aca="false">IFERROR(IF(B78="","",VLOOKUP(B78,Proveedores!$A:$H,8,0)),"")</f>
        <v/>
      </c>
      <c r="G78" s="21"/>
      <c r="H78" s="21"/>
    </row>
    <row r="79" customFormat="false" ht="19.5" hidden="false" customHeight="true" outlineLevel="0" collapsed="false">
      <c r="A79" s="37"/>
      <c r="B79" s="25"/>
      <c r="C79" s="25"/>
      <c r="D79" s="25"/>
      <c r="E79" s="26"/>
      <c r="F79" s="26" t="str">
        <f aca="false">IFERROR(IF(B79="","",VLOOKUP(B79,Proveedores!$A:$H,8,0)),"")</f>
        <v/>
      </c>
      <c r="G79" s="25"/>
      <c r="H79" s="25"/>
    </row>
    <row r="80" customFormat="false" ht="19.5" hidden="false" customHeight="true" outlineLevel="0" collapsed="false">
      <c r="A80" s="38"/>
      <c r="B80" s="21"/>
      <c r="C80" s="21"/>
      <c r="D80" s="21"/>
      <c r="E80" s="22"/>
      <c r="F80" s="22" t="str">
        <f aca="false">IFERROR(IF(B80="","",VLOOKUP(B80,Proveedores!$A:$H,8,0)),"")</f>
        <v/>
      </c>
      <c r="G80" s="21"/>
      <c r="H80" s="21"/>
    </row>
    <row r="81" customFormat="false" ht="19.5" hidden="false" customHeight="true" outlineLevel="0" collapsed="false">
      <c r="A81" s="37"/>
      <c r="B81" s="25"/>
      <c r="C81" s="25"/>
      <c r="D81" s="25"/>
      <c r="E81" s="26"/>
      <c r="F81" s="26" t="str">
        <f aca="false">IFERROR(IF(B81="","",VLOOKUP(B81,Proveedores!$A:$H,8,0)),"")</f>
        <v/>
      </c>
      <c r="G81" s="25"/>
      <c r="H81" s="25"/>
    </row>
    <row r="82" customFormat="false" ht="19.5" hidden="false" customHeight="true" outlineLevel="0" collapsed="false">
      <c r="A82" s="38"/>
      <c r="B82" s="21"/>
      <c r="C82" s="21"/>
      <c r="D82" s="21"/>
      <c r="E82" s="22"/>
      <c r="F82" s="22" t="str">
        <f aca="false">IFERROR(IF(B82="","",VLOOKUP(B82,Proveedores!$A:$H,8,0)),"")</f>
        <v/>
      </c>
      <c r="G82" s="21"/>
      <c r="H82" s="21"/>
    </row>
    <row r="83" customFormat="false" ht="19.5" hidden="false" customHeight="true" outlineLevel="0" collapsed="false">
      <c r="A83" s="37"/>
      <c r="B83" s="25"/>
      <c r="C83" s="25"/>
      <c r="D83" s="25"/>
      <c r="E83" s="26"/>
      <c r="F83" s="26" t="str">
        <f aca="false">IFERROR(IF(B83="","",VLOOKUP(B83,Proveedores!$A:$H,8,0)),"")</f>
        <v/>
      </c>
      <c r="G83" s="25"/>
      <c r="H83" s="25"/>
    </row>
    <row r="84" customFormat="false" ht="19.5" hidden="false" customHeight="true" outlineLevel="0" collapsed="false">
      <c r="A84" s="38"/>
      <c r="B84" s="21"/>
      <c r="C84" s="21"/>
      <c r="D84" s="21"/>
      <c r="E84" s="22"/>
      <c r="F84" s="22" t="str">
        <f aca="false">IFERROR(IF(B84="","",VLOOKUP(B84,Proveedores!$A:$H,8,0)),"")</f>
        <v/>
      </c>
      <c r="G84" s="21"/>
      <c r="H84" s="21"/>
    </row>
    <row r="85" customFormat="false" ht="19.5" hidden="false" customHeight="true" outlineLevel="0" collapsed="false">
      <c r="A85" s="37"/>
      <c r="B85" s="25"/>
      <c r="C85" s="25"/>
      <c r="D85" s="25"/>
      <c r="E85" s="26"/>
      <c r="F85" s="26" t="str">
        <f aca="false">IFERROR(IF(B85="","",VLOOKUP(B85,Proveedores!$A:$H,8,0)),"")</f>
        <v/>
      </c>
      <c r="G85" s="25"/>
      <c r="H85" s="25"/>
    </row>
    <row r="86" customFormat="false" ht="19.5" hidden="false" customHeight="true" outlineLevel="0" collapsed="false">
      <c r="A86" s="38"/>
      <c r="B86" s="21"/>
      <c r="C86" s="21"/>
      <c r="D86" s="21"/>
      <c r="E86" s="22"/>
      <c r="F86" s="22" t="str">
        <f aca="false">IFERROR(IF(B86="","",VLOOKUP(B86,Proveedores!$A:$H,8,0)),"")</f>
        <v/>
      </c>
      <c r="G86" s="21"/>
      <c r="H86" s="21"/>
    </row>
    <row r="87" customFormat="false" ht="19.5" hidden="false" customHeight="true" outlineLevel="0" collapsed="false">
      <c r="A87" s="37"/>
      <c r="B87" s="25"/>
      <c r="C87" s="25"/>
      <c r="D87" s="25"/>
      <c r="E87" s="26"/>
      <c r="F87" s="26" t="str">
        <f aca="false">IFERROR(IF(B87="","",VLOOKUP(B87,Proveedores!$A:$H,8,0)),"")</f>
        <v/>
      </c>
      <c r="G87" s="25"/>
      <c r="H87" s="25"/>
    </row>
    <row r="88" customFormat="false" ht="19.5" hidden="false" customHeight="true" outlineLevel="0" collapsed="false">
      <c r="A88" s="38"/>
      <c r="B88" s="21"/>
      <c r="C88" s="21"/>
      <c r="D88" s="21"/>
      <c r="E88" s="22"/>
      <c r="F88" s="22" t="str">
        <f aca="false">IFERROR(IF(B88="","",VLOOKUP(B88,Proveedores!$A:$H,8,0)),"")</f>
        <v/>
      </c>
      <c r="G88" s="21"/>
      <c r="H88" s="21"/>
    </row>
    <row r="89" customFormat="false" ht="19.5" hidden="false" customHeight="true" outlineLevel="0" collapsed="false">
      <c r="A89" s="37"/>
      <c r="B89" s="25"/>
      <c r="C89" s="25"/>
      <c r="D89" s="25"/>
      <c r="E89" s="26"/>
      <c r="F89" s="26" t="str">
        <f aca="false">IFERROR(IF(B89="","",VLOOKUP(B89,Proveedores!$A:$H,8,0)),"")</f>
        <v/>
      </c>
      <c r="G89" s="25"/>
      <c r="H89" s="25"/>
    </row>
    <row r="90" customFormat="false" ht="19.5" hidden="false" customHeight="true" outlineLevel="0" collapsed="false">
      <c r="A90" s="38"/>
      <c r="B90" s="21"/>
      <c r="C90" s="21"/>
      <c r="D90" s="21"/>
      <c r="E90" s="22"/>
      <c r="F90" s="22" t="str">
        <f aca="false">IFERROR(IF(B90="","",VLOOKUP(B90,Proveedores!$A:$H,8,0)),"")</f>
        <v/>
      </c>
      <c r="G90" s="21"/>
      <c r="H90" s="21"/>
    </row>
    <row r="91" customFormat="false" ht="19.5" hidden="false" customHeight="true" outlineLevel="0" collapsed="false">
      <c r="A91" s="37"/>
      <c r="B91" s="25"/>
      <c r="C91" s="25"/>
      <c r="D91" s="25"/>
      <c r="E91" s="26"/>
      <c r="F91" s="26" t="str">
        <f aca="false">IFERROR(IF(B91="","",VLOOKUP(B91,Proveedores!$A:$H,8,0)),"")</f>
        <v/>
      </c>
      <c r="G91" s="25"/>
      <c r="H91" s="25"/>
    </row>
    <row r="92" customFormat="false" ht="19.5" hidden="false" customHeight="true" outlineLevel="0" collapsed="false">
      <c r="A92" s="38"/>
      <c r="B92" s="21"/>
      <c r="C92" s="21"/>
      <c r="D92" s="21"/>
      <c r="E92" s="22"/>
      <c r="F92" s="22" t="str">
        <f aca="false">IFERROR(IF(B92="","",VLOOKUP(B92,Proveedores!$A:$H,8,0)),"")</f>
        <v/>
      </c>
      <c r="G92" s="21"/>
      <c r="H92" s="21"/>
    </row>
    <row r="93" customFormat="false" ht="19.5" hidden="false" customHeight="true" outlineLevel="0" collapsed="false">
      <c r="A93" s="37"/>
      <c r="B93" s="25"/>
      <c r="C93" s="25"/>
      <c r="D93" s="25"/>
      <c r="E93" s="26"/>
      <c r="F93" s="26" t="str">
        <f aca="false">IFERROR(IF(B93="","",VLOOKUP(B93,Proveedores!$A:$H,8,0)),"")</f>
        <v/>
      </c>
      <c r="G93" s="25"/>
      <c r="H93" s="25"/>
    </row>
    <row r="94" customFormat="false" ht="19.5" hidden="false" customHeight="true" outlineLevel="0" collapsed="false">
      <c r="A94" s="38"/>
      <c r="B94" s="21"/>
      <c r="C94" s="21"/>
      <c r="D94" s="21"/>
      <c r="E94" s="22"/>
      <c r="F94" s="22" t="str">
        <f aca="false">IFERROR(IF(B94="","",VLOOKUP(B94,Proveedores!$A:$H,8,0)),"")</f>
        <v/>
      </c>
      <c r="G94" s="21"/>
      <c r="H94" s="21"/>
    </row>
    <row r="95" customFormat="false" ht="19.5" hidden="false" customHeight="true" outlineLevel="0" collapsed="false">
      <c r="A95" s="37"/>
      <c r="B95" s="25"/>
      <c r="C95" s="25"/>
      <c r="D95" s="25"/>
      <c r="E95" s="26"/>
      <c r="F95" s="26" t="str">
        <f aca="false">IFERROR(IF(B95="","",VLOOKUP(B95,Proveedores!$A:$H,8,0)),"")</f>
        <v/>
      </c>
      <c r="G95" s="25"/>
      <c r="H95" s="25"/>
    </row>
    <row r="96" customFormat="false" ht="19.5" hidden="false" customHeight="true" outlineLevel="0" collapsed="false">
      <c r="A96" s="38"/>
      <c r="B96" s="21"/>
      <c r="C96" s="21"/>
      <c r="D96" s="21"/>
      <c r="E96" s="22"/>
      <c r="F96" s="22" t="str">
        <f aca="false">IFERROR(IF(B96="","",VLOOKUP(B96,Proveedores!$A:$H,8,0)),"")</f>
        <v/>
      </c>
      <c r="G96" s="21"/>
      <c r="H96" s="21"/>
    </row>
    <row r="97" customFormat="false" ht="19.5" hidden="false" customHeight="true" outlineLevel="0" collapsed="false">
      <c r="A97" s="37"/>
      <c r="B97" s="25"/>
      <c r="C97" s="25"/>
      <c r="D97" s="25"/>
      <c r="E97" s="26"/>
      <c r="F97" s="26" t="str">
        <f aca="false">IFERROR(IF(B97="","",VLOOKUP(B97,Proveedores!$A:$H,8,0)),"")</f>
        <v/>
      </c>
      <c r="G97" s="25"/>
      <c r="H97" s="25"/>
    </row>
    <row r="98" customFormat="false" ht="19.5" hidden="false" customHeight="true" outlineLevel="0" collapsed="false">
      <c r="A98" s="38"/>
      <c r="B98" s="21"/>
      <c r="C98" s="21"/>
      <c r="D98" s="21"/>
      <c r="E98" s="22"/>
      <c r="F98" s="22" t="str">
        <f aca="false">IFERROR(IF(B98="","",VLOOKUP(B98,Proveedores!$A:$H,8,0)),"")</f>
        <v/>
      </c>
      <c r="G98" s="21"/>
      <c r="H98" s="21"/>
    </row>
    <row r="99" customFormat="false" ht="19.5" hidden="false" customHeight="true" outlineLevel="0" collapsed="false">
      <c r="A99" s="37"/>
      <c r="B99" s="25"/>
      <c r="C99" s="25"/>
      <c r="D99" s="25"/>
      <c r="E99" s="26"/>
      <c r="F99" s="26" t="str">
        <f aca="false">IFERROR(IF(B99="","",VLOOKUP(B99,Proveedores!$A:$H,8,0)),"")</f>
        <v/>
      </c>
      <c r="G99" s="25"/>
      <c r="H99" s="25"/>
    </row>
    <row r="100" customFormat="false" ht="19.5" hidden="false" customHeight="true" outlineLevel="0" collapsed="false">
      <c r="A100" s="38"/>
      <c r="B100" s="21"/>
      <c r="C100" s="21"/>
      <c r="D100" s="21"/>
      <c r="E100" s="22"/>
      <c r="F100" s="22" t="str">
        <f aca="false">IFERROR(IF(B100="","",VLOOKUP(B100,Proveedores!$A:$H,8,0)),"")</f>
        <v/>
      </c>
      <c r="G100" s="21"/>
      <c r="H100" s="21"/>
    </row>
    <row r="101" customFormat="false" ht="19.5" hidden="false" customHeight="true" outlineLevel="0" collapsed="false">
      <c r="A101" s="37"/>
      <c r="B101" s="25"/>
      <c r="C101" s="25"/>
      <c r="D101" s="25"/>
      <c r="E101" s="26"/>
      <c r="F101" s="26" t="str">
        <f aca="false">IFERROR(IF(B101="","",VLOOKUP(B101,Proveedores!$A:$H,8,0)),"")</f>
        <v/>
      </c>
      <c r="G101" s="25"/>
      <c r="H101" s="25"/>
    </row>
    <row r="102" customFormat="false" ht="19.5" hidden="false" customHeight="true" outlineLevel="0" collapsed="false">
      <c r="A102" s="38"/>
      <c r="B102" s="21"/>
      <c r="C102" s="21"/>
      <c r="D102" s="21"/>
      <c r="E102" s="22"/>
      <c r="F102" s="22" t="str">
        <f aca="false">IFERROR(IF(B102="","",VLOOKUP(B102,Proveedores!$A:$H,8,0)),"")</f>
        <v/>
      </c>
      <c r="G102" s="21"/>
      <c r="H102" s="21"/>
    </row>
    <row r="103" customFormat="false" ht="19.5" hidden="false" customHeight="true" outlineLevel="0" collapsed="false">
      <c r="A103" s="37"/>
      <c r="B103" s="25"/>
      <c r="C103" s="25"/>
      <c r="D103" s="25"/>
      <c r="E103" s="26"/>
      <c r="F103" s="26" t="str">
        <f aca="false">IFERROR(IF(B103="","",VLOOKUP(B103,Proveedores!$A:$H,8,0)),"")</f>
        <v/>
      </c>
      <c r="G103" s="25"/>
      <c r="H103" s="25"/>
    </row>
    <row r="104" customFormat="false" ht="19.5" hidden="false" customHeight="true" outlineLevel="0" collapsed="false">
      <c r="A104" s="38"/>
      <c r="B104" s="21"/>
      <c r="C104" s="21"/>
      <c r="D104" s="21"/>
      <c r="E104" s="22"/>
      <c r="F104" s="22" t="str">
        <f aca="false">IFERROR(IF(B104="","",VLOOKUP(B104,Proveedores!$A:$H,8,0)),"")</f>
        <v/>
      </c>
      <c r="G104" s="21"/>
      <c r="H104" s="21"/>
    </row>
    <row r="105" customFormat="false" ht="19.5" hidden="false" customHeight="true" outlineLevel="0" collapsed="false">
      <c r="A105" s="37"/>
      <c r="B105" s="25"/>
      <c r="C105" s="25"/>
      <c r="D105" s="25"/>
      <c r="E105" s="26"/>
      <c r="F105" s="26" t="str">
        <f aca="false">IFERROR(IF(B105="","",VLOOKUP(B105,Proveedores!$A:$H,8,0)),"")</f>
        <v/>
      </c>
      <c r="G105" s="25"/>
      <c r="H105" s="25"/>
    </row>
    <row r="106" customFormat="false" ht="19.5" hidden="false" customHeight="true" outlineLevel="0" collapsed="false">
      <c r="A106" s="38"/>
      <c r="B106" s="21"/>
      <c r="C106" s="21"/>
      <c r="D106" s="21"/>
      <c r="E106" s="22"/>
      <c r="F106" s="22" t="str">
        <f aca="false">IFERROR(IF(B106="","",VLOOKUP(B106,Proveedores!$A:$H,8,0)),"")</f>
        <v/>
      </c>
      <c r="G106" s="21"/>
      <c r="H106" s="21"/>
    </row>
    <row r="107" customFormat="false" ht="19.5" hidden="false" customHeight="true" outlineLevel="0" collapsed="false">
      <c r="A107" s="37"/>
      <c r="B107" s="25"/>
      <c r="C107" s="25"/>
      <c r="D107" s="25"/>
      <c r="E107" s="26"/>
      <c r="F107" s="26" t="str">
        <f aca="false">IFERROR(IF(B107="","",VLOOKUP(B107,Proveedores!$A:$H,8,0)),"")</f>
        <v/>
      </c>
      <c r="G107" s="25"/>
      <c r="H107" s="25"/>
    </row>
    <row r="108" customFormat="false" ht="19.5" hidden="false" customHeight="true" outlineLevel="0" collapsed="false">
      <c r="A108" s="38"/>
      <c r="B108" s="21"/>
      <c r="C108" s="21"/>
      <c r="D108" s="21"/>
      <c r="E108" s="22"/>
      <c r="F108" s="22" t="str">
        <f aca="false">IFERROR(IF(B108="","",VLOOKUP(B108,Proveedores!$A:$H,8,0)),"")</f>
        <v/>
      </c>
      <c r="G108" s="21"/>
      <c r="H108" s="21"/>
    </row>
    <row r="109" customFormat="false" ht="19.5" hidden="false" customHeight="true" outlineLevel="0" collapsed="false">
      <c r="A109" s="37"/>
      <c r="B109" s="25"/>
      <c r="C109" s="25"/>
      <c r="D109" s="25"/>
      <c r="E109" s="26"/>
      <c r="F109" s="26" t="str">
        <f aca="false">IFERROR(IF(B109="","",VLOOKUP(B109,Proveedores!$A:$H,8,0)),"")</f>
        <v/>
      </c>
      <c r="G109" s="25"/>
      <c r="H109" s="25"/>
    </row>
    <row r="110" customFormat="false" ht="19.5" hidden="false" customHeight="true" outlineLevel="0" collapsed="false">
      <c r="A110" s="38"/>
      <c r="B110" s="21"/>
      <c r="C110" s="21"/>
      <c r="D110" s="21"/>
      <c r="E110" s="22"/>
      <c r="F110" s="22" t="str">
        <f aca="false">IFERROR(IF(B110="","",VLOOKUP(B110,Proveedores!$A:$H,8,0)),"")</f>
        <v/>
      </c>
      <c r="G110" s="21"/>
      <c r="H110" s="21"/>
    </row>
    <row r="111" customFormat="false" ht="19.5" hidden="false" customHeight="true" outlineLevel="0" collapsed="false">
      <c r="A111" s="37"/>
      <c r="B111" s="25"/>
      <c r="C111" s="25"/>
      <c r="D111" s="25"/>
      <c r="E111" s="26"/>
      <c r="F111" s="26" t="str">
        <f aca="false">IFERROR(IF(B111="","",VLOOKUP(B111,Proveedores!$A:$H,8,0)),"")</f>
        <v/>
      </c>
      <c r="G111" s="25"/>
      <c r="H111" s="25"/>
    </row>
    <row r="112" customFormat="false" ht="19.5" hidden="false" customHeight="true" outlineLevel="0" collapsed="false">
      <c r="A112" s="38"/>
      <c r="B112" s="21"/>
      <c r="C112" s="21"/>
      <c r="D112" s="21"/>
      <c r="E112" s="22"/>
      <c r="F112" s="22" t="str">
        <f aca="false">IFERROR(IF(B112="","",VLOOKUP(B112,Proveedores!$A:$H,8,0)),"")</f>
        <v/>
      </c>
      <c r="G112" s="21"/>
      <c r="H112" s="21"/>
    </row>
    <row r="113" customFormat="false" ht="19.5" hidden="false" customHeight="true" outlineLevel="0" collapsed="false">
      <c r="A113" s="37"/>
      <c r="B113" s="25"/>
      <c r="C113" s="25"/>
      <c r="D113" s="25"/>
      <c r="E113" s="26"/>
      <c r="F113" s="26" t="str">
        <f aca="false">IFERROR(IF(B113="","",VLOOKUP(B113,Proveedores!$A:$H,8,0)),"")</f>
        <v/>
      </c>
      <c r="G113" s="25"/>
      <c r="H113" s="25"/>
    </row>
    <row r="114" customFormat="false" ht="19.5" hidden="false" customHeight="true" outlineLevel="0" collapsed="false">
      <c r="A114" s="38"/>
      <c r="B114" s="21"/>
      <c r="C114" s="21"/>
      <c r="D114" s="21"/>
      <c r="E114" s="22"/>
      <c r="F114" s="22" t="str">
        <f aca="false">IFERROR(IF(B114="","",VLOOKUP(B114,Proveedores!$A:$H,8,0)),"")</f>
        <v/>
      </c>
      <c r="G114" s="21"/>
      <c r="H114" s="21"/>
    </row>
    <row r="115" customFormat="false" ht="19.5" hidden="false" customHeight="true" outlineLevel="0" collapsed="false">
      <c r="A115" s="37"/>
      <c r="B115" s="25"/>
      <c r="C115" s="25"/>
      <c r="D115" s="25"/>
      <c r="E115" s="26"/>
      <c r="F115" s="26" t="str">
        <f aca="false">IFERROR(IF(B115="","",VLOOKUP(B115,Proveedores!$A:$H,8,0)),"")</f>
        <v/>
      </c>
      <c r="G115" s="25"/>
      <c r="H115" s="25"/>
    </row>
    <row r="116" customFormat="false" ht="19.5" hidden="false" customHeight="true" outlineLevel="0" collapsed="false">
      <c r="A116" s="38"/>
      <c r="B116" s="21"/>
      <c r="C116" s="21"/>
      <c r="D116" s="21"/>
      <c r="E116" s="22"/>
      <c r="F116" s="22" t="str">
        <f aca="false">IFERROR(IF(B116="","",VLOOKUP(B116,Proveedores!$A:$H,8,0)),"")</f>
        <v/>
      </c>
      <c r="G116" s="21"/>
      <c r="H116" s="21"/>
    </row>
    <row r="117" customFormat="false" ht="19.5" hidden="false" customHeight="true" outlineLevel="0" collapsed="false">
      <c r="A117" s="37"/>
      <c r="B117" s="25"/>
      <c r="C117" s="25"/>
      <c r="D117" s="25"/>
      <c r="E117" s="26"/>
      <c r="F117" s="26" t="str">
        <f aca="false">IFERROR(IF(B117="","",VLOOKUP(B117,Proveedores!$A:$H,8,0)),"")</f>
        <v/>
      </c>
      <c r="G117" s="25"/>
      <c r="H117" s="25"/>
    </row>
    <row r="118" customFormat="false" ht="19.5" hidden="false" customHeight="true" outlineLevel="0" collapsed="false">
      <c r="A118" s="38"/>
      <c r="B118" s="21"/>
      <c r="C118" s="21"/>
      <c r="D118" s="21"/>
      <c r="E118" s="22"/>
      <c r="F118" s="22" t="str">
        <f aca="false">IFERROR(IF(B118="","",VLOOKUP(B118,Proveedores!$A:$H,8,0)),"")</f>
        <v/>
      </c>
      <c r="G118" s="21"/>
      <c r="H118" s="21"/>
    </row>
    <row r="119" customFormat="false" ht="19.5" hidden="false" customHeight="true" outlineLevel="0" collapsed="false">
      <c r="A119" s="37"/>
      <c r="B119" s="25"/>
      <c r="C119" s="25"/>
      <c r="D119" s="25"/>
      <c r="E119" s="26"/>
      <c r="F119" s="26" t="str">
        <f aca="false">IFERROR(IF(B119="","",VLOOKUP(B119,Proveedores!$A:$H,8,0)),"")</f>
        <v/>
      </c>
      <c r="G119" s="25"/>
      <c r="H119" s="25"/>
    </row>
    <row r="120" customFormat="false" ht="19.5" hidden="false" customHeight="true" outlineLevel="0" collapsed="false">
      <c r="A120" s="38"/>
      <c r="B120" s="21"/>
      <c r="C120" s="21"/>
      <c r="D120" s="21"/>
      <c r="E120" s="22"/>
      <c r="F120" s="22" t="str">
        <f aca="false">IFERROR(IF(B120="","",VLOOKUP(B120,Proveedores!$A:$H,8,0)),"")</f>
        <v/>
      </c>
      <c r="G120" s="21"/>
      <c r="H120" s="21"/>
    </row>
    <row r="121" customFormat="false" ht="19.5" hidden="false" customHeight="true" outlineLevel="0" collapsed="false">
      <c r="A121" s="37"/>
      <c r="B121" s="25"/>
      <c r="C121" s="25"/>
      <c r="D121" s="25"/>
      <c r="E121" s="26"/>
      <c r="F121" s="26" t="str">
        <f aca="false">IFERROR(IF(B121="","",VLOOKUP(B121,Proveedores!$A:$H,8,0)),"")</f>
        <v/>
      </c>
      <c r="G121" s="25"/>
      <c r="H121" s="25"/>
    </row>
    <row r="122" customFormat="false" ht="19.5" hidden="false" customHeight="true" outlineLevel="0" collapsed="false">
      <c r="A122" s="38"/>
      <c r="B122" s="21"/>
      <c r="C122" s="21"/>
      <c r="D122" s="21"/>
      <c r="E122" s="22"/>
      <c r="F122" s="22" t="str">
        <f aca="false">IFERROR(IF(B122="","",VLOOKUP(B122,Proveedores!$A:$H,8,0)),"")</f>
        <v/>
      </c>
      <c r="G122" s="21"/>
      <c r="H122" s="21"/>
    </row>
    <row r="123" customFormat="false" ht="19.5" hidden="false" customHeight="true" outlineLevel="0" collapsed="false">
      <c r="A123" s="37"/>
      <c r="B123" s="25"/>
      <c r="C123" s="25"/>
      <c r="D123" s="25"/>
      <c r="E123" s="26"/>
      <c r="F123" s="26" t="str">
        <f aca="false">IFERROR(IF(B123="","",VLOOKUP(B123,Proveedores!$A:$H,8,0)),"")</f>
        <v/>
      </c>
      <c r="G123" s="25"/>
      <c r="H123" s="25"/>
    </row>
    <row r="124" customFormat="false" ht="19.5" hidden="false" customHeight="true" outlineLevel="0" collapsed="false">
      <c r="A124" s="38"/>
      <c r="B124" s="21"/>
      <c r="C124" s="21"/>
      <c r="D124" s="21"/>
      <c r="E124" s="22"/>
      <c r="F124" s="22" t="str">
        <f aca="false">IFERROR(IF(B124="","",VLOOKUP(B124,Proveedores!$A:$H,8,0)),"")</f>
        <v/>
      </c>
      <c r="G124" s="21"/>
      <c r="H124" s="21"/>
    </row>
    <row r="125" customFormat="false" ht="19.5" hidden="false" customHeight="true" outlineLevel="0" collapsed="false">
      <c r="A125" s="37"/>
      <c r="B125" s="25"/>
      <c r="C125" s="25"/>
      <c r="D125" s="25"/>
      <c r="E125" s="26"/>
      <c r="F125" s="26" t="str">
        <f aca="false">IFERROR(IF(B125="","",VLOOKUP(B125,Proveedores!$A:$H,8,0)),"")</f>
        <v/>
      </c>
      <c r="G125" s="25"/>
      <c r="H125" s="25"/>
    </row>
    <row r="126" customFormat="false" ht="19.5" hidden="false" customHeight="true" outlineLevel="0" collapsed="false">
      <c r="A126" s="38"/>
      <c r="B126" s="21"/>
      <c r="C126" s="21"/>
      <c r="D126" s="21"/>
      <c r="E126" s="22"/>
      <c r="F126" s="22" t="str">
        <f aca="false">IFERROR(IF(B126="","",VLOOKUP(B126,Proveedores!$A:$H,8,0)),"")</f>
        <v/>
      </c>
      <c r="G126" s="21"/>
      <c r="H126" s="21"/>
    </row>
    <row r="127" customFormat="false" ht="19.5" hidden="false" customHeight="true" outlineLevel="0" collapsed="false">
      <c r="A127" s="37"/>
      <c r="B127" s="25"/>
      <c r="C127" s="25"/>
      <c r="D127" s="25"/>
      <c r="E127" s="26"/>
      <c r="F127" s="26" t="str">
        <f aca="false">IFERROR(IF(B127="","",VLOOKUP(B127,Proveedores!$A:$H,8,0)),"")</f>
        <v/>
      </c>
      <c r="G127" s="25"/>
      <c r="H127" s="25"/>
    </row>
    <row r="128" customFormat="false" ht="19.5" hidden="false" customHeight="true" outlineLevel="0" collapsed="false">
      <c r="A128" s="38"/>
      <c r="B128" s="21"/>
      <c r="C128" s="21"/>
      <c r="D128" s="21"/>
      <c r="E128" s="22"/>
      <c r="F128" s="22" t="str">
        <f aca="false">IFERROR(IF(B128="","",VLOOKUP(B128,Proveedores!$A:$H,8,0)),"")</f>
        <v/>
      </c>
      <c r="G128" s="21"/>
      <c r="H128" s="21"/>
    </row>
    <row r="129" customFormat="false" ht="19.5" hidden="false" customHeight="true" outlineLevel="0" collapsed="false">
      <c r="A129" s="37"/>
      <c r="B129" s="25"/>
      <c r="C129" s="25"/>
      <c r="D129" s="25"/>
      <c r="E129" s="26"/>
      <c r="F129" s="26" t="str">
        <f aca="false">IFERROR(IF(B129="","",VLOOKUP(B129,Proveedores!$A:$H,8,0)),"")</f>
        <v/>
      </c>
      <c r="G129" s="25"/>
      <c r="H129" s="25"/>
    </row>
    <row r="130" customFormat="false" ht="19.5" hidden="false" customHeight="true" outlineLevel="0" collapsed="false">
      <c r="A130" s="38"/>
      <c r="B130" s="21"/>
      <c r="C130" s="21"/>
      <c r="D130" s="21"/>
      <c r="E130" s="22"/>
      <c r="F130" s="22" t="str">
        <f aca="false">IFERROR(IF(B130="","",VLOOKUP(B130,Proveedores!$A:$H,8,0)),"")</f>
        <v/>
      </c>
      <c r="G130" s="21"/>
      <c r="H130" s="21"/>
    </row>
    <row r="131" customFormat="false" ht="19.5" hidden="false" customHeight="true" outlineLevel="0" collapsed="false">
      <c r="A131" s="37"/>
      <c r="B131" s="25"/>
      <c r="C131" s="25"/>
      <c r="D131" s="25"/>
      <c r="E131" s="26"/>
      <c r="F131" s="26" t="str">
        <f aca="false">IFERROR(IF(B131="","",VLOOKUP(B131,Proveedores!$A:$H,8,0)),"")</f>
        <v/>
      </c>
      <c r="G131" s="25"/>
      <c r="H131" s="25"/>
    </row>
    <row r="132" customFormat="false" ht="19.5" hidden="false" customHeight="true" outlineLevel="0" collapsed="false">
      <c r="A132" s="38"/>
      <c r="B132" s="21"/>
      <c r="C132" s="21"/>
      <c r="D132" s="21"/>
      <c r="E132" s="22"/>
      <c r="F132" s="22" t="str">
        <f aca="false">IFERROR(IF(B132="","",VLOOKUP(B132,Proveedores!$A:$H,8,0)),"")</f>
        <v/>
      </c>
      <c r="G132" s="21"/>
      <c r="H132" s="21"/>
    </row>
    <row r="133" customFormat="false" ht="19.5" hidden="false" customHeight="true" outlineLevel="0" collapsed="false">
      <c r="A133" s="37"/>
      <c r="B133" s="25"/>
      <c r="C133" s="25"/>
      <c r="D133" s="25"/>
      <c r="E133" s="26"/>
      <c r="F133" s="26" t="str">
        <f aca="false">IFERROR(IF(B133="","",VLOOKUP(B133,Proveedores!$A:$H,8,0)),"")</f>
        <v/>
      </c>
      <c r="G133" s="25"/>
      <c r="H133" s="25"/>
    </row>
    <row r="134" customFormat="false" ht="19.5" hidden="false" customHeight="true" outlineLevel="0" collapsed="false">
      <c r="A134" s="38"/>
      <c r="B134" s="21"/>
      <c r="C134" s="21"/>
      <c r="D134" s="21"/>
      <c r="E134" s="22"/>
      <c r="F134" s="22" t="str">
        <f aca="false">IFERROR(IF(B134="","",VLOOKUP(B134,Proveedores!$A:$H,8,0)),"")</f>
        <v/>
      </c>
      <c r="G134" s="21"/>
      <c r="H134" s="21"/>
    </row>
    <row r="135" customFormat="false" ht="19.5" hidden="false" customHeight="true" outlineLevel="0" collapsed="false">
      <c r="A135" s="37"/>
      <c r="B135" s="25"/>
      <c r="C135" s="25"/>
      <c r="D135" s="25"/>
      <c r="E135" s="26"/>
      <c r="F135" s="26" t="str">
        <f aca="false">IFERROR(IF(B135="","",VLOOKUP(B135,Proveedores!$A:$H,8,0)),"")</f>
        <v/>
      </c>
      <c r="G135" s="25"/>
      <c r="H135" s="25"/>
    </row>
    <row r="136" customFormat="false" ht="19.5" hidden="false" customHeight="true" outlineLevel="0" collapsed="false">
      <c r="A136" s="38"/>
      <c r="B136" s="21"/>
      <c r="C136" s="21"/>
      <c r="D136" s="21"/>
      <c r="E136" s="22"/>
      <c r="F136" s="22" t="str">
        <f aca="false">IFERROR(IF(B136="","",VLOOKUP(B136,Proveedores!$A:$H,8,0)),"")</f>
        <v/>
      </c>
      <c r="G136" s="21"/>
      <c r="H136" s="21"/>
    </row>
    <row r="137" customFormat="false" ht="19.5" hidden="false" customHeight="true" outlineLevel="0" collapsed="false">
      <c r="A137" s="37"/>
      <c r="B137" s="25"/>
      <c r="C137" s="25"/>
      <c r="D137" s="25"/>
      <c r="E137" s="26"/>
      <c r="F137" s="26" t="str">
        <f aca="false">IFERROR(IF(B137="","",VLOOKUP(B137,Proveedores!$A:$H,8,0)),"")</f>
        <v/>
      </c>
      <c r="G137" s="25"/>
      <c r="H137" s="25"/>
    </row>
    <row r="138" customFormat="false" ht="19.5" hidden="false" customHeight="true" outlineLevel="0" collapsed="false">
      <c r="A138" s="38"/>
      <c r="B138" s="21"/>
      <c r="C138" s="21"/>
      <c r="D138" s="21"/>
      <c r="E138" s="22"/>
      <c r="F138" s="22" t="str">
        <f aca="false">IFERROR(IF(B138="","",VLOOKUP(B138,Proveedores!$A:$H,8,0)),"")</f>
        <v/>
      </c>
      <c r="G138" s="21"/>
      <c r="H138" s="21"/>
    </row>
    <row r="139" customFormat="false" ht="19.5" hidden="false" customHeight="true" outlineLevel="0" collapsed="false">
      <c r="A139" s="37"/>
      <c r="B139" s="25"/>
      <c r="C139" s="25"/>
      <c r="D139" s="25"/>
      <c r="E139" s="26"/>
      <c r="F139" s="26" t="str">
        <f aca="false">IFERROR(IF(B139="","",VLOOKUP(B139,Proveedores!$A:$H,8,0)),"")</f>
        <v/>
      </c>
      <c r="G139" s="25"/>
      <c r="H139" s="25"/>
    </row>
    <row r="140" customFormat="false" ht="19.5" hidden="false" customHeight="true" outlineLevel="0" collapsed="false">
      <c r="A140" s="38"/>
      <c r="B140" s="21"/>
      <c r="C140" s="21"/>
      <c r="D140" s="21"/>
      <c r="E140" s="22"/>
      <c r="F140" s="22" t="str">
        <f aca="false">IFERROR(IF(B140="","",VLOOKUP(B140,Proveedores!$A:$H,8,0)),"")</f>
        <v/>
      </c>
      <c r="G140" s="21"/>
      <c r="H140" s="21"/>
    </row>
    <row r="141" customFormat="false" ht="19.5" hidden="false" customHeight="true" outlineLevel="0" collapsed="false">
      <c r="A141" s="37"/>
      <c r="B141" s="25"/>
      <c r="C141" s="25"/>
      <c r="D141" s="25"/>
      <c r="E141" s="26"/>
      <c r="F141" s="26" t="str">
        <f aca="false">IFERROR(IF(B141="","",VLOOKUP(B141,Proveedores!$A:$H,8,0)),"")</f>
        <v/>
      </c>
      <c r="G141" s="25"/>
      <c r="H141" s="25"/>
    </row>
    <row r="142" customFormat="false" ht="19.5" hidden="false" customHeight="true" outlineLevel="0" collapsed="false">
      <c r="A142" s="38"/>
      <c r="B142" s="21"/>
      <c r="C142" s="21"/>
      <c r="D142" s="21"/>
      <c r="E142" s="22"/>
      <c r="F142" s="22" t="str">
        <f aca="false">IFERROR(IF(B142="","",VLOOKUP(B142,Proveedores!$A:$H,8,0)),"")</f>
        <v/>
      </c>
      <c r="G142" s="21"/>
      <c r="H142" s="21"/>
    </row>
    <row r="143" customFormat="false" ht="19.5" hidden="false" customHeight="true" outlineLevel="0" collapsed="false">
      <c r="A143" s="37"/>
      <c r="B143" s="25"/>
      <c r="C143" s="25"/>
      <c r="D143" s="25"/>
      <c r="E143" s="26"/>
      <c r="F143" s="26" t="str">
        <f aca="false">IFERROR(IF(B143="","",VLOOKUP(B143,Proveedores!$A:$H,8,0)),"")</f>
        <v/>
      </c>
      <c r="G143" s="25"/>
      <c r="H143" s="25"/>
    </row>
    <row r="144" customFormat="false" ht="19.5" hidden="false" customHeight="true" outlineLevel="0" collapsed="false">
      <c r="A144" s="38"/>
      <c r="B144" s="21"/>
      <c r="C144" s="21"/>
      <c r="D144" s="21"/>
      <c r="E144" s="22"/>
      <c r="F144" s="22" t="str">
        <f aca="false">IFERROR(IF(B144="","",VLOOKUP(B144,Proveedores!$A:$H,8,0)),"")</f>
        <v/>
      </c>
      <c r="G144" s="21"/>
      <c r="H144" s="21"/>
    </row>
    <row r="145" customFormat="false" ht="19.5" hidden="false" customHeight="true" outlineLevel="0" collapsed="false">
      <c r="A145" s="37"/>
      <c r="B145" s="25"/>
      <c r="C145" s="25"/>
      <c r="D145" s="25"/>
      <c r="E145" s="26"/>
      <c r="F145" s="26" t="str">
        <f aca="false">IFERROR(IF(B145="","",VLOOKUP(B145,Proveedores!$A:$H,8,0)),"")</f>
        <v/>
      </c>
      <c r="G145" s="25"/>
      <c r="H145" s="25"/>
    </row>
    <row r="146" customFormat="false" ht="19.5" hidden="false" customHeight="true" outlineLevel="0" collapsed="false">
      <c r="A146" s="38"/>
      <c r="B146" s="21"/>
      <c r="C146" s="21"/>
      <c r="D146" s="21"/>
      <c r="E146" s="22"/>
      <c r="F146" s="22" t="str">
        <f aca="false">IFERROR(IF(B146="","",VLOOKUP(B146,Proveedores!$A:$H,8,0)),"")</f>
        <v/>
      </c>
      <c r="G146" s="21"/>
      <c r="H146" s="21"/>
    </row>
    <row r="147" customFormat="false" ht="19.5" hidden="false" customHeight="true" outlineLevel="0" collapsed="false">
      <c r="A147" s="37"/>
      <c r="B147" s="25"/>
      <c r="C147" s="25"/>
      <c r="D147" s="25"/>
      <c r="E147" s="26"/>
      <c r="F147" s="26" t="str">
        <f aca="false">IFERROR(IF(B147="","",VLOOKUP(B147,Proveedores!$A:$H,8,0)),"")</f>
        <v/>
      </c>
      <c r="G147" s="25"/>
      <c r="H147" s="25"/>
    </row>
    <row r="148" customFormat="false" ht="19.5" hidden="false" customHeight="true" outlineLevel="0" collapsed="false">
      <c r="A148" s="38"/>
      <c r="B148" s="21"/>
      <c r="C148" s="21"/>
      <c r="D148" s="21"/>
      <c r="E148" s="22"/>
      <c r="F148" s="22" t="str">
        <f aca="false">IFERROR(IF(B148="","",VLOOKUP(B148,Proveedores!$A:$H,8,0)),"")</f>
        <v/>
      </c>
      <c r="G148" s="21"/>
      <c r="H148" s="21"/>
    </row>
    <row r="149" customFormat="false" ht="19.5" hidden="false" customHeight="true" outlineLevel="0" collapsed="false">
      <c r="A149" s="37"/>
      <c r="B149" s="25"/>
      <c r="C149" s="25"/>
      <c r="D149" s="25"/>
      <c r="E149" s="26"/>
      <c r="F149" s="26" t="str">
        <f aca="false">IFERROR(IF(B149="","",VLOOKUP(B149,Proveedores!$A:$H,8,0)),"")</f>
        <v/>
      </c>
      <c r="G149" s="25"/>
      <c r="H149" s="25"/>
    </row>
    <row r="150" customFormat="false" ht="19.5" hidden="false" customHeight="true" outlineLevel="0" collapsed="false">
      <c r="A150" s="38"/>
      <c r="B150" s="21"/>
      <c r="C150" s="21"/>
      <c r="D150" s="21"/>
      <c r="E150" s="22"/>
      <c r="F150" s="22" t="str">
        <f aca="false">IFERROR(IF(B150="","",VLOOKUP(B150,Proveedores!$A:$H,8,0)),"")</f>
        <v/>
      </c>
      <c r="G150" s="21"/>
      <c r="H150" s="21"/>
    </row>
    <row r="151" customFormat="false" ht="19.5" hidden="false" customHeight="true" outlineLevel="0" collapsed="false">
      <c r="A151" s="37"/>
      <c r="B151" s="25"/>
      <c r="C151" s="25"/>
      <c r="D151" s="25"/>
      <c r="E151" s="26"/>
      <c r="F151" s="26" t="str">
        <f aca="false">IFERROR(IF(B151="","",VLOOKUP(B151,Proveedores!$A:$H,8,0)),"")</f>
        <v/>
      </c>
      <c r="G151" s="25"/>
      <c r="H151" s="25"/>
    </row>
    <row r="152" customFormat="false" ht="19.5" hidden="false" customHeight="true" outlineLevel="0" collapsed="false">
      <c r="A152" s="38"/>
      <c r="B152" s="21"/>
      <c r="C152" s="21"/>
      <c r="D152" s="21"/>
      <c r="E152" s="22"/>
      <c r="F152" s="22" t="str">
        <f aca="false">IFERROR(IF(B152="","",VLOOKUP(B152,Proveedores!$A:$H,8,0)),"")</f>
        <v/>
      </c>
      <c r="G152" s="21"/>
      <c r="H152" s="21"/>
    </row>
    <row r="153" customFormat="false" ht="19.5" hidden="false" customHeight="true" outlineLevel="0" collapsed="false">
      <c r="A153" s="37"/>
      <c r="B153" s="25"/>
      <c r="C153" s="25"/>
      <c r="D153" s="25"/>
      <c r="E153" s="26"/>
      <c r="F153" s="26" t="str">
        <f aca="false">IFERROR(IF(B153="","",VLOOKUP(B153,Proveedores!$A:$H,8,0)),"")</f>
        <v/>
      </c>
      <c r="G153" s="25"/>
      <c r="H153" s="25"/>
    </row>
    <row r="154" customFormat="false" ht="19.5" hidden="false" customHeight="true" outlineLevel="0" collapsed="false">
      <c r="A154" s="38"/>
      <c r="B154" s="21"/>
      <c r="C154" s="21"/>
      <c r="D154" s="21"/>
      <c r="E154" s="22"/>
      <c r="F154" s="22" t="str">
        <f aca="false">IFERROR(IF(B154="","",VLOOKUP(B154,Proveedores!$A:$H,8,0)),"")</f>
        <v/>
      </c>
      <c r="G154" s="21"/>
      <c r="H154" s="21"/>
    </row>
    <row r="155" customFormat="false" ht="19.5" hidden="false" customHeight="true" outlineLevel="0" collapsed="false">
      <c r="A155" s="37"/>
      <c r="B155" s="25"/>
      <c r="C155" s="25"/>
      <c r="D155" s="25"/>
      <c r="E155" s="26"/>
      <c r="F155" s="26" t="str">
        <f aca="false">IFERROR(IF(B155="","",VLOOKUP(B155,Proveedores!$A:$H,8,0)),"")</f>
        <v/>
      </c>
      <c r="G155" s="25"/>
      <c r="H155" s="25"/>
    </row>
    <row r="156" customFormat="false" ht="19.5" hidden="false" customHeight="true" outlineLevel="0" collapsed="false">
      <c r="A156" s="38"/>
      <c r="B156" s="21"/>
      <c r="C156" s="21"/>
      <c r="D156" s="21"/>
      <c r="E156" s="22"/>
      <c r="F156" s="22" t="str">
        <f aca="false">IFERROR(IF(B156="","",VLOOKUP(B156,Proveedores!$A:$H,8,0)),"")</f>
        <v/>
      </c>
      <c r="G156" s="21"/>
      <c r="H156" s="21"/>
    </row>
    <row r="157" customFormat="false" ht="19.5" hidden="false" customHeight="true" outlineLevel="0" collapsed="false">
      <c r="A157" s="37"/>
      <c r="B157" s="25"/>
      <c r="C157" s="25"/>
      <c r="D157" s="25"/>
      <c r="E157" s="26"/>
      <c r="F157" s="26" t="str">
        <f aca="false">IFERROR(IF(B157="","",VLOOKUP(B157,Proveedores!$A:$H,8,0)),"")</f>
        <v/>
      </c>
      <c r="G157" s="25"/>
      <c r="H157" s="25"/>
    </row>
    <row r="158" customFormat="false" ht="19.5" hidden="false" customHeight="true" outlineLevel="0" collapsed="false">
      <c r="A158" s="38"/>
      <c r="B158" s="21"/>
      <c r="C158" s="21"/>
      <c r="D158" s="21"/>
      <c r="E158" s="22"/>
      <c r="F158" s="22" t="str">
        <f aca="false">IFERROR(IF(B158="","",VLOOKUP(B158,Proveedores!$A:$H,8,0)),"")</f>
        <v/>
      </c>
      <c r="G158" s="21"/>
      <c r="H158" s="21"/>
    </row>
    <row r="159" customFormat="false" ht="19.5" hidden="false" customHeight="true" outlineLevel="0" collapsed="false">
      <c r="A159" s="37"/>
      <c r="B159" s="25"/>
      <c r="C159" s="25"/>
      <c r="D159" s="25"/>
      <c r="E159" s="26"/>
      <c r="F159" s="26" t="str">
        <f aca="false">IFERROR(IF(B159="","",VLOOKUP(B159,Proveedores!$A:$H,8,0)),"")</f>
        <v/>
      </c>
      <c r="G159" s="25"/>
      <c r="H159" s="25"/>
    </row>
    <row r="160" customFormat="false" ht="19.5" hidden="false" customHeight="true" outlineLevel="0" collapsed="false">
      <c r="A160" s="38"/>
      <c r="B160" s="21"/>
      <c r="C160" s="21"/>
      <c r="D160" s="21"/>
      <c r="E160" s="22"/>
      <c r="F160" s="22" t="str">
        <f aca="false">IFERROR(IF(B160="","",VLOOKUP(B160,Proveedores!$A:$H,8,0)),"")</f>
        <v/>
      </c>
      <c r="G160" s="21"/>
      <c r="H160" s="21"/>
    </row>
    <row r="161" customFormat="false" ht="19.5" hidden="false" customHeight="true" outlineLevel="0" collapsed="false">
      <c r="A161" s="37"/>
      <c r="B161" s="25"/>
      <c r="C161" s="25"/>
      <c r="D161" s="25"/>
      <c r="E161" s="26"/>
      <c r="F161" s="26" t="str">
        <f aca="false">IFERROR(IF(B161="","",VLOOKUP(B161,Proveedores!$A:$H,8,0)),"")</f>
        <v/>
      </c>
      <c r="G161" s="25"/>
      <c r="H161" s="25"/>
    </row>
    <row r="162" customFormat="false" ht="19.5" hidden="false" customHeight="true" outlineLevel="0" collapsed="false">
      <c r="A162" s="38"/>
      <c r="B162" s="21"/>
      <c r="C162" s="21"/>
      <c r="D162" s="21"/>
      <c r="E162" s="22"/>
      <c r="F162" s="22" t="str">
        <f aca="false">IFERROR(IF(B162="","",VLOOKUP(B162,Proveedores!$A:$H,8,0)),"")</f>
        <v/>
      </c>
      <c r="G162" s="21"/>
      <c r="H162" s="21"/>
    </row>
    <row r="163" customFormat="false" ht="19.5" hidden="false" customHeight="true" outlineLevel="0" collapsed="false">
      <c r="A163" s="37"/>
      <c r="B163" s="25"/>
      <c r="C163" s="25"/>
      <c r="D163" s="25"/>
      <c r="E163" s="26"/>
      <c r="F163" s="26" t="str">
        <f aca="false">IFERROR(IF(B163="","",VLOOKUP(B163,Proveedores!$A:$H,8,0)),"")</f>
        <v/>
      </c>
      <c r="G163" s="25"/>
      <c r="H163" s="25"/>
    </row>
    <row r="164" customFormat="false" ht="19.5" hidden="false" customHeight="true" outlineLevel="0" collapsed="false">
      <c r="A164" s="38"/>
      <c r="B164" s="21"/>
      <c r="C164" s="21"/>
      <c r="D164" s="21"/>
      <c r="E164" s="22"/>
      <c r="F164" s="22" t="str">
        <f aca="false">IFERROR(IF(B164="","",VLOOKUP(B164,Proveedores!$A:$H,8,0)),"")</f>
        <v/>
      </c>
      <c r="G164" s="21"/>
      <c r="H164" s="21"/>
    </row>
    <row r="165" customFormat="false" ht="19.5" hidden="false" customHeight="true" outlineLevel="0" collapsed="false">
      <c r="A165" s="37"/>
      <c r="B165" s="25"/>
      <c r="C165" s="25"/>
      <c r="D165" s="25"/>
      <c r="E165" s="26"/>
      <c r="F165" s="26" t="str">
        <f aca="false">IFERROR(IF(B165="","",VLOOKUP(B165,Proveedores!$A:$H,8,0)),"")</f>
        <v/>
      </c>
      <c r="G165" s="25"/>
      <c r="H165" s="25"/>
    </row>
    <row r="166" customFormat="false" ht="19.5" hidden="false" customHeight="true" outlineLevel="0" collapsed="false">
      <c r="A166" s="38"/>
      <c r="B166" s="21"/>
      <c r="C166" s="21"/>
      <c r="D166" s="21"/>
      <c r="E166" s="22"/>
      <c r="F166" s="22" t="str">
        <f aca="false">IFERROR(IF(B166="","",VLOOKUP(B166,Proveedores!$A:$H,8,0)),"")</f>
        <v/>
      </c>
      <c r="G166" s="21"/>
      <c r="H166" s="21"/>
    </row>
    <row r="167" customFormat="false" ht="19.5" hidden="false" customHeight="true" outlineLevel="0" collapsed="false">
      <c r="A167" s="37"/>
      <c r="B167" s="25"/>
      <c r="C167" s="25"/>
      <c r="D167" s="25"/>
      <c r="E167" s="26"/>
      <c r="F167" s="26" t="str">
        <f aca="false">IFERROR(IF(B167="","",VLOOKUP(B167,Proveedores!$A:$H,8,0)),"")</f>
        <v/>
      </c>
      <c r="G167" s="25"/>
      <c r="H167" s="25"/>
    </row>
    <row r="168" customFormat="false" ht="19.5" hidden="false" customHeight="true" outlineLevel="0" collapsed="false">
      <c r="A168" s="38"/>
      <c r="B168" s="21"/>
      <c r="C168" s="21"/>
      <c r="D168" s="21"/>
      <c r="E168" s="22"/>
      <c r="F168" s="22" t="str">
        <f aca="false">IFERROR(IF(B168="","",VLOOKUP(B168,Proveedores!$A:$H,8,0)),"")</f>
        <v/>
      </c>
      <c r="G168" s="21"/>
      <c r="H168" s="21"/>
    </row>
    <row r="169" customFormat="false" ht="19.5" hidden="false" customHeight="true" outlineLevel="0" collapsed="false">
      <c r="A169" s="37"/>
      <c r="B169" s="25"/>
      <c r="C169" s="25"/>
      <c r="D169" s="25"/>
      <c r="E169" s="26"/>
      <c r="F169" s="26" t="str">
        <f aca="false">IFERROR(IF(B169="","",VLOOKUP(B169,Proveedores!$A:$H,8,0)),"")</f>
        <v/>
      </c>
      <c r="G169" s="25"/>
      <c r="H169" s="25"/>
    </row>
    <row r="170" customFormat="false" ht="19.5" hidden="false" customHeight="true" outlineLevel="0" collapsed="false">
      <c r="A170" s="38"/>
      <c r="B170" s="21"/>
      <c r="C170" s="21"/>
      <c r="D170" s="21"/>
      <c r="E170" s="22"/>
      <c r="F170" s="22" t="str">
        <f aca="false">IFERROR(IF(B170="","",VLOOKUP(B170,Proveedores!$A:$H,8,0)),"")</f>
        <v/>
      </c>
      <c r="G170" s="21"/>
      <c r="H170" s="21"/>
    </row>
    <row r="171" customFormat="false" ht="19.5" hidden="false" customHeight="true" outlineLevel="0" collapsed="false">
      <c r="A171" s="37"/>
      <c r="B171" s="25"/>
      <c r="C171" s="25"/>
      <c r="D171" s="25"/>
      <c r="E171" s="26"/>
      <c r="F171" s="26" t="str">
        <f aca="false">IFERROR(IF(B171="","",VLOOKUP(B171,Proveedores!$A:$H,8,0)),"")</f>
        <v/>
      </c>
      <c r="G171" s="25"/>
      <c r="H171" s="25"/>
    </row>
    <row r="172" customFormat="false" ht="19.5" hidden="false" customHeight="true" outlineLevel="0" collapsed="false">
      <c r="A172" s="38"/>
      <c r="B172" s="21"/>
      <c r="C172" s="21"/>
      <c r="D172" s="21"/>
      <c r="E172" s="22"/>
      <c r="F172" s="22" t="str">
        <f aca="false">IFERROR(IF(B172="","",VLOOKUP(B172,Proveedores!$A:$H,8,0)),"")</f>
        <v/>
      </c>
      <c r="G172" s="21"/>
      <c r="H172" s="21"/>
    </row>
    <row r="173" customFormat="false" ht="19.5" hidden="false" customHeight="true" outlineLevel="0" collapsed="false">
      <c r="A173" s="37"/>
      <c r="B173" s="25"/>
      <c r="C173" s="25"/>
      <c r="D173" s="25"/>
      <c r="E173" s="26"/>
      <c r="F173" s="26" t="str">
        <f aca="false">IFERROR(IF(B173="","",VLOOKUP(B173,Proveedores!$A:$H,8,0)),"")</f>
        <v/>
      </c>
      <c r="G173" s="25"/>
      <c r="H173" s="25"/>
    </row>
    <row r="174" customFormat="false" ht="19.5" hidden="false" customHeight="true" outlineLevel="0" collapsed="false">
      <c r="A174" s="38"/>
      <c r="B174" s="21"/>
      <c r="C174" s="21"/>
      <c r="D174" s="21"/>
      <c r="E174" s="22"/>
      <c r="F174" s="22" t="str">
        <f aca="false">IFERROR(IF(B174="","",VLOOKUP(B174,Proveedores!$A:$H,8,0)),"")</f>
        <v/>
      </c>
      <c r="G174" s="21"/>
      <c r="H174" s="21"/>
    </row>
    <row r="175" customFormat="false" ht="19.5" hidden="false" customHeight="true" outlineLevel="0" collapsed="false">
      <c r="A175" s="37"/>
      <c r="B175" s="25"/>
      <c r="C175" s="25"/>
      <c r="D175" s="25"/>
      <c r="E175" s="26"/>
      <c r="F175" s="26" t="str">
        <f aca="false">IFERROR(IF(B175="","",VLOOKUP(B175,Proveedores!$A:$H,8,0)),"")</f>
        <v/>
      </c>
      <c r="G175" s="25"/>
      <c r="H175" s="25"/>
    </row>
    <row r="176" customFormat="false" ht="19.5" hidden="false" customHeight="true" outlineLevel="0" collapsed="false">
      <c r="A176" s="38"/>
      <c r="B176" s="21"/>
      <c r="C176" s="21"/>
      <c r="D176" s="21"/>
      <c r="E176" s="22"/>
      <c r="F176" s="22" t="str">
        <f aca="false">IFERROR(IF(B176="","",VLOOKUP(B176,Proveedores!$A:$H,8,0)),"")</f>
        <v/>
      </c>
      <c r="G176" s="21"/>
      <c r="H176" s="21"/>
    </row>
    <row r="177" customFormat="false" ht="19.5" hidden="false" customHeight="true" outlineLevel="0" collapsed="false">
      <c r="A177" s="37"/>
      <c r="B177" s="25"/>
      <c r="C177" s="25"/>
      <c r="D177" s="25"/>
      <c r="E177" s="26"/>
      <c r="F177" s="26" t="str">
        <f aca="false">IFERROR(IF(B177="","",VLOOKUP(B177,Proveedores!$A:$H,8,0)),"")</f>
        <v/>
      </c>
      <c r="G177" s="25"/>
      <c r="H177" s="25"/>
    </row>
    <row r="178" customFormat="false" ht="19.5" hidden="false" customHeight="true" outlineLevel="0" collapsed="false">
      <c r="A178" s="38"/>
      <c r="B178" s="21"/>
      <c r="C178" s="21"/>
      <c r="D178" s="21"/>
      <c r="E178" s="22"/>
      <c r="F178" s="22" t="str">
        <f aca="false">IFERROR(IF(B178="","",VLOOKUP(B178,Proveedores!$A:$H,8,0)),"")</f>
        <v/>
      </c>
      <c r="G178" s="21"/>
      <c r="H178" s="21"/>
    </row>
    <row r="179" customFormat="false" ht="19.5" hidden="false" customHeight="true" outlineLevel="0" collapsed="false">
      <c r="A179" s="37"/>
      <c r="B179" s="25"/>
      <c r="C179" s="25"/>
      <c r="D179" s="25"/>
      <c r="E179" s="26"/>
      <c r="F179" s="26" t="str">
        <f aca="false">IFERROR(IF(B179="","",VLOOKUP(B179,Proveedores!$A:$H,8,0)),"")</f>
        <v/>
      </c>
      <c r="G179" s="25"/>
      <c r="H179" s="25"/>
    </row>
    <row r="180" customFormat="false" ht="19.5" hidden="false" customHeight="true" outlineLevel="0" collapsed="false">
      <c r="A180" s="38"/>
      <c r="B180" s="21"/>
      <c r="C180" s="21"/>
      <c r="D180" s="21"/>
      <c r="E180" s="22"/>
      <c r="F180" s="22" t="str">
        <f aca="false">IFERROR(IF(B180="","",VLOOKUP(B180,Proveedores!$A:$H,8,0)),"")</f>
        <v/>
      </c>
      <c r="G180" s="21"/>
      <c r="H180" s="21"/>
    </row>
    <row r="181" customFormat="false" ht="19.5" hidden="false" customHeight="true" outlineLevel="0" collapsed="false">
      <c r="A181" s="37"/>
      <c r="B181" s="25"/>
      <c r="C181" s="25"/>
      <c r="D181" s="25"/>
      <c r="E181" s="26"/>
      <c r="F181" s="26" t="str">
        <f aca="false">IFERROR(IF(B181="","",VLOOKUP(B181,Proveedores!$A:$H,8,0)),"")</f>
        <v/>
      </c>
      <c r="G181" s="25"/>
      <c r="H181" s="25"/>
    </row>
    <row r="182" customFormat="false" ht="19.5" hidden="false" customHeight="true" outlineLevel="0" collapsed="false">
      <c r="A182" s="38"/>
      <c r="B182" s="21"/>
      <c r="C182" s="21"/>
      <c r="D182" s="21"/>
      <c r="E182" s="22"/>
      <c r="F182" s="22" t="str">
        <f aca="false">IFERROR(IF(B182="","",VLOOKUP(B182,Proveedores!$A:$H,8,0)),"")</f>
        <v/>
      </c>
      <c r="G182" s="21"/>
      <c r="H182" s="21"/>
    </row>
    <row r="183" customFormat="false" ht="19.5" hidden="false" customHeight="true" outlineLevel="0" collapsed="false">
      <c r="A183" s="37"/>
      <c r="B183" s="25"/>
      <c r="C183" s="25"/>
      <c r="D183" s="25"/>
      <c r="E183" s="26"/>
      <c r="F183" s="26" t="str">
        <f aca="false">IFERROR(IF(B183="","",VLOOKUP(B183,Proveedores!$A:$H,8,0)),"")</f>
        <v/>
      </c>
      <c r="G183" s="25"/>
      <c r="H183" s="25"/>
    </row>
    <row r="184" customFormat="false" ht="19.5" hidden="false" customHeight="true" outlineLevel="0" collapsed="false">
      <c r="A184" s="38"/>
      <c r="B184" s="21"/>
      <c r="C184" s="21"/>
      <c r="D184" s="21"/>
      <c r="E184" s="22"/>
      <c r="F184" s="22" t="str">
        <f aca="false">IFERROR(IF(B184="","",VLOOKUP(B184,Proveedores!$A:$H,8,0)),"")</f>
        <v/>
      </c>
      <c r="G184" s="21"/>
      <c r="H184" s="21"/>
    </row>
    <row r="185" customFormat="false" ht="19.5" hidden="false" customHeight="true" outlineLevel="0" collapsed="false">
      <c r="A185" s="37"/>
      <c r="B185" s="25"/>
      <c r="C185" s="25"/>
      <c r="D185" s="25"/>
      <c r="E185" s="26"/>
      <c r="F185" s="26" t="str">
        <f aca="false">IFERROR(IF(B185="","",VLOOKUP(B185,Proveedores!$A:$H,8,0)),"")</f>
        <v/>
      </c>
      <c r="G185" s="25"/>
      <c r="H185" s="25"/>
    </row>
    <row r="186" customFormat="false" ht="19.5" hidden="false" customHeight="true" outlineLevel="0" collapsed="false">
      <c r="A186" s="38"/>
      <c r="B186" s="21"/>
      <c r="C186" s="21"/>
      <c r="D186" s="21"/>
      <c r="E186" s="22"/>
      <c r="F186" s="22" t="str">
        <f aca="false">IFERROR(IF(B186="","",VLOOKUP(B186,Proveedores!$A:$H,8,0)),"")</f>
        <v/>
      </c>
      <c r="G186" s="21"/>
      <c r="H186" s="21"/>
    </row>
    <row r="187" customFormat="false" ht="19.5" hidden="false" customHeight="true" outlineLevel="0" collapsed="false">
      <c r="A187" s="37"/>
      <c r="B187" s="25"/>
      <c r="C187" s="25"/>
      <c r="D187" s="25"/>
      <c r="E187" s="26"/>
      <c r="F187" s="26" t="str">
        <f aca="false">IFERROR(IF(B187="","",VLOOKUP(B187,Proveedores!$A:$H,8,0)),"")</f>
        <v/>
      </c>
      <c r="G187" s="25"/>
      <c r="H187" s="25"/>
    </row>
    <row r="188" customFormat="false" ht="19.5" hidden="false" customHeight="true" outlineLevel="0" collapsed="false">
      <c r="A188" s="38"/>
      <c r="B188" s="21"/>
      <c r="C188" s="21"/>
      <c r="D188" s="21"/>
      <c r="E188" s="22"/>
      <c r="F188" s="22" t="str">
        <f aca="false">IFERROR(IF(B188="","",VLOOKUP(B188,Proveedores!$A:$H,8,0)),"")</f>
        <v/>
      </c>
      <c r="G188" s="21"/>
      <c r="H188" s="21"/>
    </row>
    <row r="189" customFormat="false" ht="19.5" hidden="false" customHeight="true" outlineLevel="0" collapsed="false">
      <c r="A189" s="37"/>
      <c r="B189" s="25"/>
      <c r="C189" s="25"/>
      <c r="D189" s="25"/>
      <c r="E189" s="26"/>
      <c r="F189" s="26" t="str">
        <f aca="false">IFERROR(IF(B189="","",VLOOKUP(B189,Proveedores!$A:$H,8,0)),"")</f>
        <v/>
      </c>
      <c r="G189" s="25"/>
      <c r="H189" s="25"/>
    </row>
    <row r="190" customFormat="false" ht="19.5" hidden="false" customHeight="true" outlineLevel="0" collapsed="false">
      <c r="A190" s="38"/>
      <c r="B190" s="21"/>
      <c r="C190" s="21"/>
      <c r="D190" s="21"/>
      <c r="E190" s="22"/>
      <c r="F190" s="22" t="str">
        <f aca="false">IFERROR(IF(B190="","",VLOOKUP(B190,Proveedores!$A:$H,8,0)),"")</f>
        <v/>
      </c>
      <c r="G190" s="21"/>
      <c r="H190" s="21"/>
    </row>
    <row r="191" customFormat="false" ht="19.5" hidden="false" customHeight="true" outlineLevel="0" collapsed="false">
      <c r="A191" s="37"/>
      <c r="B191" s="25"/>
      <c r="C191" s="25"/>
      <c r="D191" s="25"/>
      <c r="E191" s="26"/>
      <c r="F191" s="26" t="str">
        <f aca="false">IFERROR(IF(B191="","",VLOOKUP(B191,Proveedores!$A:$H,8,0)),"")</f>
        <v/>
      </c>
      <c r="G191" s="25"/>
      <c r="H191" s="25"/>
    </row>
    <row r="192" customFormat="false" ht="19.5" hidden="false" customHeight="true" outlineLevel="0" collapsed="false">
      <c r="A192" s="38"/>
      <c r="B192" s="21"/>
      <c r="C192" s="21"/>
      <c r="D192" s="21"/>
      <c r="E192" s="22"/>
      <c r="F192" s="22" t="str">
        <f aca="false">IFERROR(IF(B192="","",VLOOKUP(B192,Proveedores!$A:$H,8,0)),"")</f>
        <v/>
      </c>
      <c r="G192" s="21"/>
      <c r="H192" s="21"/>
    </row>
    <row r="193" customFormat="false" ht="19.5" hidden="false" customHeight="true" outlineLevel="0" collapsed="false">
      <c r="A193" s="37"/>
      <c r="B193" s="25"/>
      <c r="C193" s="25"/>
      <c r="D193" s="25"/>
      <c r="E193" s="26"/>
      <c r="F193" s="26" t="str">
        <f aca="false">IFERROR(IF(B193="","",VLOOKUP(B193,Proveedores!$A:$H,8,0)),"")</f>
        <v/>
      </c>
      <c r="G193" s="25"/>
      <c r="H193" s="25"/>
    </row>
    <row r="194" customFormat="false" ht="19.5" hidden="false" customHeight="true" outlineLevel="0" collapsed="false">
      <c r="A194" s="38"/>
      <c r="B194" s="21"/>
      <c r="C194" s="21"/>
      <c r="D194" s="21"/>
      <c r="E194" s="22"/>
      <c r="F194" s="22" t="str">
        <f aca="false">IFERROR(IF(B194="","",VLOOKUP(B194,Proveedores!$A:$H,8,0)),"")</f>
        <v/>
      </c>
      <c r="G194" s="21"/>
      <c r="H194" s="21"/>
    </row>
    <row r="195" customFormat="false" ht="19.5" hidden="false" customHeight="true" outlineLevel="0" collapsed="false">
      <c r="A195" s="37"/>
      <c r="B195" s="25"/>
      <c r="C195" s="25"/>
      <c r="D195" s="25"/>
      <c r="E195" s="26"/>
      <c r="F195" s="26" t="str">
        <f aca="false">IFERROR(IF(B195="","",VLOOKUP(B195,Proveedores!$A:$H,8,0)),"")</f>
        <v/>
      </c>
      <c r="G195" s="25"/>
      <c r="H195" s="25"/>
    </row>
    <row r="196" customFormat="false" ht="19.5" hidden="false" customHeight="true" outlineLevel="0" collapsed="false">
      <c r="A196" s="38"/>
      <c r="B196" s="21"/>
      <c r="C196" s="21"/>
      <c r="D196" s="21"/>
      <c r="E196" s="22"/>
      <c r="F196" s="22" t="str">
        <f aca="false">IFERROR(IF(B196="","",VLOOKUP(B196,Proveedores!$A:$H,8,0)),"")</f>
        <v/>
      </c>
      <c r="G196" s="21"/>
      <c r="H196" s="21"/>
    </row>
    <row r="197" customFormat="false" ht="19.5" hidden="false" customHeight="true" outlineLevel="0" collapsed="false">
      <c r="A197" s="37"/>
      <c r="B197" s="25"/>
      <c r="C197" s="25"/>
      <c r="D197" s="25"/>
      <c r="E197" s="26"/>
      <c r="F197" s="26" t="str">
        <f aca="false">IFERROR(IF(B197="","",VLOOKUP(B197,Proveedores!$A:$H,8,0)),"")</f>
        <v/>
      </c>
      <c r="G197" s="25"/>
      <c r="H197" s="25"/>
    </row>
    <row r="198" customFormat="false" ht="19.5" hidden="false" customHeight="true" outlineLevel="0" collapsed="false">
      <c r="A198" s="38"/>
      <c r="B198" s="21"/>
      <c r="C198" s="21"/>
      <c r="D198" s="21"/>
      <c r="E198" s="22"/>
      <c r="F198" s="22" t="str">
        <f aca="false">IFERROR(IF(B198="","",VLOOKUP(B198,Proveedores!$A:$H,8,0)),"")</f>
        <v/>
      </c>
      <c r="G198" s="21"/>
      <c r="H198" s="21"/>
    </row>
    <row r="199" customFormat="false" ht="19.5" hidden="false" customHeight="true" outlineLevel="0" collapsed="false">
      <c r="A199" s="37"/>
      <c r="B199" s="25"/>
      <c r="C199" s="25"/>
      <c r="D199" s="25"/>
      <c r="E199" s="26"/>
      <c r="F199" s="26" t="str">
        <f aca="false">IFERROR(IF(B199="","",VLOOKUP(B199,Proveedores!$A:$H,8,0)),"")</f>
        <v/>
      </c>
      <c r="G199" s="25"/>
      <c r="H199" s="25"/>
    </row>
    <row r="200" customFormat="false" ht="19.5" hidden="false" customHeight="true" outlineLevel="0" collapsed="false">
      <c r="A200" s="38"/>
      <c r="B200" s="21"/>
      <c r="C200" s="21"/>
      <c r="D200" s="21"/>
      <c r="E200" s="22"/>
      <c r="F200" s="22" t="str">
        <f aca="false">IFERROR(IF(B200="","",VLOOKUP(B200,Proveedores!$A:$H,8,0)),"")</f>
        <v/>
      </c>
      <c r="G200" s="21"/>
      <c r="H200" s="21"/>
    </row>
    <row r="201" customFormat="false" ht="19.5" hidden="false" customHeight="true" outlineLevel="0" collapsed="false">
      <c r="A201" s="37"/>
      <c r="B201" s="25"/>
      <c r="C201" s="25"/>
      <c r="D201" s="25"/>
      <c r="E201" s="26"/>
      <c r="F201" s="26" t="str">
        <f aca="false">IFERROR(IF(B201="","",VLOOKUP(B201,Proveedores!$A:$H,8,0)),"")</f>
        <v/>
      </c>
      <c r="G201" s="25"/>
      <c r="H201" s="25"/>
    </row>
    <row r="202" customFormat="false" ht="19.5" hidden="false" customHeight="true" outlineLevel="0" collapsed="false">
      <c r="A202" s="38"/>
      <c r="B202" s="21"/>
      <c r="C202" s="21"/>
      <c r="D202" s="21"/>
      <c r="E202" s="22"/>
      <c r="F202" s="22" t="str">
        <f aca="false">IFERROR(IF(B202="","",VLOOKUP(B202,Proveedores!$A:$H,8,0)),"")</f>
        <v/>
      </c>
      <c r="G202" s="21"/>
      <c r="H202" s="21"/>
    </row>
    <row r="203" customFormat="false" ht="19.5" hidden="false" customHeight="true" outlineLevel="0" collapsed="false">
      <c r="A203" s="37"/>
      <c r="B203" s="25"/>
      <c r="C203" s="25"/>
      <c r="D203" s="25"/>
      <c r="E203" s="26"/>
      <c r="F203" s="26" t="str">
        <f aca="false">IFERROR(IF(B203="","",VLOOKUP(B203,Proveedores!$A:$H,8,0)),"")</f>
        <v/>
      </c>
      <c r="G203" s="25"/>
      <c r="H203" s="25"/>
    </row>
    <row r="204" customFormat="false" ht="19.5" hidden="false" customHeight="true" outlineLevel="0" collapsed="false">
      <c r="A204" s="38"/>
      <c r="B204" s="21"/>
      <c r="C204" s="21"/>
      <c r="D204" s="21"/>
      <c r="E204" s="22"/>
      <c r="F204" s="22" t="str">
        <f aca="false">IFERROR(IF(B204="","",VLOOKUP(B204,Proveedores!$A:$H,8,0)),"")</f>
        <v/>
      </c>
      <c r="G204" s="21"/>
      <c r="H204" s="21"/>
    </row>
  </sheetData>
  <mergeCells count="5">
    <mergeCell ref="A1:H1"/>
    <mergeCell ref="A2:B2"/>
    <mergeCell ref="D2:E2"/>
    <mergeCell ref="G2:H2"/>
    <mergeCell ref="A3:H3"/>
  </mergeCells>
  <dataValidations count="1">
    <dataValidation allowBlank="true" errorStyle="stop" operator="between" showDropDown="false" showErrorMessage="false" showInputMessage="false" sqref="D5:D1204" type="list">
      <formula1>"Pago parcial,Pago total,Devolución,Ajuste"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EB"/>
    <pageSetUpPr fitToPage="fals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28" t="s">
        <v>75</v>
      </c>
      <c r="B1" s="28"/>
      <c r="C1" s="28"/>
      <c r="D1" s="28"/>
      <c r="E1" s="28"/>
      <c r="F1" s="28"/>
      <c r="G1" s="28"/>
    </row>
    <row r="2" customFormat="false" ht="19.5" hidden="false" customHeight="true" outlineLevel="0" collapsed="false">
      <c r="A2" s="39" t="s">
        <v>76</v>
      </c>
      <c r="B2" s="39"/>
      <c r="C2" s="39"/>
      <c r="D2" s="39"/>
      <c r="E2" s="39"/>
      <c r="F2" s="39"/>
      <c r="G2" s="39"/>
    </row>
    <row r="3" customFormat="false" ht="18" hidden="false" customHeight="true" outlineLevel="0" collapsed="false">
      <c r="A3" s="40" t="s">
        <v>77</v>
      </c>
      <c r="B3" s="40"/>
      <c r="C3" s="40"/>
      <c r="D3" s="40"/>
      <c r="E3" s="40"/>
      <c r="F3" s="40"/>
      <c r="G3" s="40"/>
    </row>
    <row r="4" customFormat="false" ht="30" hidden="false" customHeight="true" outlineLevel="0" collapsed="false">
      <c r="A4" s="7" t="s">
        <v>78</v>
      </c>
      <c r="B4" s="7" t="s">
        <v>59</v>
      </c>
      <c r="C4" s="7" t="s">
        <v>79</v>
      </c>
      <c r="D4" s="7" t="s">
        <v>80</v>
      </c>
      <c r="E4" s="7" t="s">
        <v>81</v>
      </c>
      <c r="F4" s="7" t="s">
        <v>82</v>
      </c>
      <c r="G4" s="7" t="s">
        <v>16</v>
      </c>
    </row>
    <row r="5" customFormat="false" ht="19.5" hidden="false" customHeight="true" outlineLevel="0" collapsed="false">
      <c r="A5" s="33" t="n">
        <v>45809</v>
      </c>
      <c r="B5" s="14" t="s">
        <v>17</v>
      </c>
      <c r="C5" s="17" t="n">
        <v>15000</v>
      </c>
      <c r="D5" s="15" t="s">
        <v>83</v>
      </c>
      <c r="E5" s="14" t="s">
        <v>84</v>
      </c>
      <c r="F5" s="41" t="s">
        <v>85</v>
      </c>
      <c r="G5" s="14" t="s">
        <v>86</v>
      </c>
    </row>
    <row r="6" customFormat="false" ht="19.5" hidden="false" customHeight="true" outlineLevel="0" collapsed="false">
      <c r="A6" s="35" t="n">
        <v>45809</v>
      </c>
      <c r="B6" s="8" t="s">
        <v>27</v>
      </c>
      <c r="C6" s="11" t="n">
        <v>10000</v>
      </c>
      <c r="D6" s="9" t="s">
        <v>87</v>
      </c>
      <c r="E6" s="8" t="s">
        <v>88</v>
      </c>
      <c r="F6" s="42" t="s">
        <v>89</v>
      </c>
      <c r="G6" s="8" t="s">
        <v>90</v>
      </c>
    </row>
    <row r="7" customFormat="false" ht="19.5" hidden="false" customHeight="true" outlineLevel="0" collapsed="false">
      <c r="A7" s="33" t="n">
        <v>45802</v>
      </c>
      <c r="B7" s="14" t="s">
        <v>17</v>
      </c>
      <c r="C7" s="17" t="n">
        <v>15000</v>
      </c>
      <c r="D7" s="15" t="s">
        <v>83</v>
      </c>
      <c r="E7" s="14" t="s">
        <v>91</v>
      </c>
      <c r="F7" s="41" t="s">
        <v>92</v>
      </c>
      <c r="G7" s="14" t="s">
        <v>93</v>
      </c>
    </row>
    <row r="8" customFormat="false" ht="19.5" hidden="false" customHeight="true" outlineLevel="0" collapsed="false">
      <c r="A8" s="35" t="n">
        <v>45797</v>
      </c>
      <c r="B8" s="8" t="s">
        <v>22</v>
      </c>
      <c r="C8" s="11" t="n">
        <v>42000</v>
      </c>
      <c r="D8" s="9" t="s">
        <v>94</v>
      </c>
      <c r="E8" s="8" t="s">
        <v>95</v>
      </c>
      <c r="F8" s="42" t="s">
        <v>96</v>
      </c>
      <c r="G8" s="8" t="s">
        <v>72</v>
      </c>
    </row>
    <row r="9" customFormat="false" ht="19.5" hidden="false" customHeight="true" outlineLevel="0" collapsed="false">
      <c r="A9" s="33" t="n">
        <v>45792</v>
      </c>
      <c r="B9" s="14" t="s">
        <v>36</v>
      </c>
      <c r="C9" s="17" t="n">
        <v>20000</v>
      </c>
      <c r="D9" s="15" t="s">
        <v>83</v>
      </c>
      <c r="E9" s="14" t="s">
        <v>97</v>
      </c>
      <c r="F9" s="41" t="s">
        <v>98</v>
      </c>
      <c r="G9" s="14"/>
    </row>
    <row r="10" customFormat="false" ht="19.5" hidden="false" customHeight="true" outlineLevel="0" collapsed="false">
      <c r="A10" s="38"/>
      <c r="B10" s="21"/>
      <c r="C10" s="22"/>
      <c r="D10" s="21"/>
      <c r="E10" s="21"/>
      <c r="F10" s="21"/>
      <c r="G10" s="21"/>
    </row>
    <row r="11" customFormat="false" ht="19.5" hidden="false" customHeight="true" outlineLevel="0" collapsed="false">
      <c r="A11" s="37"/>
      <c r="B11" s="25"/>
      <c r="C11" s="26"/>
      <c r="D11" s="25"/>
      <c r="E11" s="25"/>
      <c r="F11" s="25"/>
      <c r="G11" s="25"/>
    </row>
    <row r="12" customFormat="false" ht="19.5" hidden="false" customHeight="true" outlineLevel="0" collapsed="false">
      <c r="A12" s="38"/>
      <c r="B12" s="21"/>
      <c r="C12" s="22"/>
      <c r="D12" s="21"/>
      <c r="E12" s="21"/>
      <c r="F12" s="21"/>
      <c r="G12" s="21"/>
    </row>
    <row r="13" customFormat="false" ht="19.5" hidden="false" customHeight="true" outlineLevel="0" collapsed="false">
      <c r="A13" s="37"/>
      <c r="B13" s="25"/>
      <c r="C13" s="26"/>
      <c r="D13" s="25"/>
      <c r="E13" s="25"/>
      <c r="F13" s="25"/>
      <c r="G13" s="25"/>
    </row>
    <row r="14" customFormat="false" ht="19.5" hidden="false" customHeight="true" outlineLevel="0" collapsed="false">
      <c r="A14" s="38"/>
      <c r="B14" s="21"/>
      <c r="C14" s="22"/>
      <c r="D14" s="21"/>
      <c r="E14" s="21"/>
      <c r="F14" s="21"/>
      <c r="G14" s="21"/>
    </row>
    <row r="15" customFormat="false" ht="19.5" hidden="false" customHeight="true" outlineLevel="0" collapsed="false">
      <c r="A15" s="37"/>
      <c r="B15" s="25"/>
      <c r="C15" s="26"/>
      <c r="D15" s="25"/>
      <c r="E15" s="25"/>
      <c r="F15" s="25"/>
      <c r="G15" s="25"/>
    </row>
    <row r="16" customFormat="false" ht="19.5" hidden="false" customHeight="true" outlineLevel="0" collapsed="false">
      <c r="A16" s="38"/>
      <c r="B16" s="21"/>
      <c r="C16" s="22"/>
      <c r="D16" s="21"/>
      <c r="E16" s="21"/>
      <c r="F16" s="21"/>
      <c r="G16" s="21"/>
    </row>
    <row r="17" customFormat="false" ht="19.5" hidden="false" customHeight="true" outlineLevel="0" collapsed="false">
      <c r="A17" s="37"/>
      <c r="B17" s="25"/>
      <c r="C17" s="26"/>
      <c r="D17" s="25"/>
      <c r="E17" s="25"/>
      <c r="F17" s="25"/>
      <c r="G17" s="25"/>
    </row>
    <row r="18" customFormat="false" ht="19.5" hidden="false" customHeight="true" outlineLevel="0" collapsed="false">
      <c r="A18" s="38"/>
      <c r="B18" s="21"/>
      <c r="C18" s="22"/>
      <c r="D18" s="21"/>
      <c r="E18" s="21"/>
      <c r="F18" s="21"/>
      <c r="G18" s="21"/>
    </row>
    <row r="19" customFormat="false" ht="19.5" hidden="false" customHeight="true" outlineLevel="0" collapsed="false">
      <c r="A19" s="37"/>
      <c r="B19" s="25"/>
      <c r="C19" s="26"/>
      <c r="D19" s="25"/>
      <c r="E19" s="25"/>
      <c r="F19" s="25"/>
      <c r="G19" s="25"/>
    </row>
    <row r="20" customFormat="false" ht="19.5" hidden="false" customHeight="true" outlineLevel="0" collapsed="false">
      <c r="A20" s="38"/>
      <c r="B20" s="21"/>
      <c r="C20" s="22"/>
      <c r="D20" s="21"/>
      <c r="E20" s="21"/>
      <c r="F20" s="21"/>
      <c r="G20" s="21"/>
    </row>
    <row r="21" customFormat="false" ht="19.5" hidden="false" customHeight="true" outlineLevel="0" collapsed="false">
      <c r="A21" s="37"/>
      <c r="B21" s="25"/>
      <c r="C21" s="26"/>
      <c r="D21" s="25"/>
      <c r="E21" s="25"/>
      <c r="F21" s="25"/>
      <c r="G21" s="25"/>
    </row>
    <row r="22" customFormat="false" ht="19.5" hidden="false" customHeight="true" outlineLevel="0" collapsed="false">
      <c r="A22" s="38"/>
      <c r="B22" s="21"/>
      <c r="C22" s="22"/>
      <c r="D22" s="21"/>
      <c r="E22" s="21"/>
      <c r="F22" s="21"/>
      <c r="G22" s="21"/>
    </row>
    <row r="23" customFormat="false" ht="19.5" hidden="false" customHeight="true" outlineLevel="0" collapsed="false">
      <c r="A23" s="37"/>
      <c r="B23" s="25"/>
      <c r="C23" s="26"/>
      <c r="D23" s="25"/>
      <c r="E23" s="25"/>
      <c r="F23" s="25"/>
      <c r="G23" s="25"/>
    </row>
    <row r="24" customFormat="false" ht="19.5" hidden="false" customHeight="true" outlineLevel="0" collapsed="false">
      <c r="A24" s="38"/>
      <c r="B24" s="21"/>
      <c r="C24" s="22"/>
      <c r="D24" s="21"/>
      <c r="E24" s="21"/>
      <c r="F24" s="21"/>
      <c r="G24" s="21"/>
    </row>
    <row r="25" customFormat="false" ht="19.5" hidden="false" customHeight="true" outlineLevel="0" collapsed="false">
      <c r="A25" s="37"/>
      <c r="B25" s="25"/>
      <c r="C25" s="26"/>
      <c r="D25" s="25"/>
      <c r="E25" s="25"/>
      <c r="F25" s="25"/>
      <c r="G25" s="25"/>
    </row>
    <row r="26" customFormat="false" ht="19.5" hidden="false" customHeight="true" outlineLevel="0" collapsed="false">
      <c r="A26" s="38"/>
      <c r="B26" s="21"/>
      <c r="C26" s="22"/>
      <c r="D26" s="21"/>
      <c r="E26" s="21"/>
      <c r="F26" s="21"/>
      <c r="G26" s="21"/>
    </row>
    <row r="27" customFormat="false" ht="19.5" hidden="false" customHeight="true" outlineLevel="0" collapsed="false">
      <c r="A27" s="37"/>
      <c r="B27" s="25"/>
      <c r="C27" s="26"/>
      <c r="D27" s="25"/>
      <c r="E27" s="25"/>
      <c r="F27" s="25"/>
      <c r="G27" s="25"/>
    </row>
    <row r="28" customFormat="false" ht="19.5" hidden="false" customHeight="true" outlineLevel="0" collapsed="false">
      <c r="A28" s="38"/>
      <c r="B28" s="21"/>
      <c r="C28" s="22"/>
      <c r="D28" s="21"/>
      <c r="E28" s="21"/>
      <c r="F28" s="21"/>
      <c r="G28" s="21"/>
    </row>
    <row r="29" customFormat="false" ht="19.5" hidden="false" customHeight="true" outlineLevel="0" collapsed="false">
      <c r="A29" s="37"/>
      <c r="B29" s="25"/>
      <c r="C29" s="26"/>
      <c r="D29" s="25"/>
      <c r="E29" s="25"/>
      <c r="F29" s="25"/>
      <c r="G29" s="25"/>
    </row>
    <row r="30" customFormat="false" ht="19.5" hidden="false" customHeight="true" outlineLevel="0" collapsed="false">
      <c r="A30" s="38"/>
      <c r="B30" s="21"/>
      <c r="C30" s="22"/>
      <c r="D30" s="21"/>
      <c r="E30" s="21"/>
      <c r="F30" s="21"/>
      <c r="G30" s="21"/>
    </row>
    <row r="31" customFormat="false" ht="19.5" hidden="false" customHeight="true" outlineLevel="0" collapsed="false">
      <c r="A31" s="37"/>
      <c r="B31" s="25"/>
      <c r="C31" s="26"/>
      <c r="D31" s="25"/>
      <c r="E31" s="25"/>
      <c r="F31" s="25"/>
      <c r="G31" s="25"/>
    </row>
    <row r="32" customFormat="false" ht="19.5" hidden="false" customHeight="true" outlineLevel="0" collapsed="false">
      <c r="A32" s="38"/>
      <c r="B32" s="21"/>
      <c r="C32" s="22"/>
      <c r="D32" s="21"/>
      <c r="E32" s="21"/>
      <c r="F32" s="21"/>
      <c r="G32" s="21"/>
    </row>
    <row r="33" customFormat="false" ht="19.5" hidden="false" customHeight="true" outlineLevel="0" collapsed="false">
      <c r="A33" s="37"/>
      <c r="B33" s="25"/>
      <c r="C33" s="26"/>
      <c r="D33" s="25"/>
      <c r="E33" s="25"/>
      <c r="F33" s="25"/>
      <c r="G33" s="25"/>
    </row>
    <row r="34" customFormat="false" ht="19.5" hidden="false" customHeight="true" outlineLevel="0" collapsed="false">
      <c r="A34" s="38"/>
      <c r="B34" s="21"/>
      <c r="C34" s="22"/>
      <c r="D34" s="21"/>
      <c r="E34" s="21"/>
      <c r="F34" s="21"/>
      <c r="G34" s="21"/>
    </row>
    <row r="35" customFormat="false" ht="19.5" hidden="false" customHeight="true" outlineLevel="0" collapsed="false">
      <c r="A35" s="37"/>
      <c r="B35" s="25"/>
      <c r="C35" s="26"/>
      <c r="D35" s="25"/>
      <c r="E35" s="25"/>
      <c r="F35" s="25"/>
      <c r="G35" s="25"/>
    </row>
    <row r="36" customFormat="false" ht="19.5" hidden="false" customHeight="true" outlineLevel="0" collapsed="false">
      <c r="A36" s="38"/>
      <c r="B36" s="21"/>
      <c r="C36" s="22"/>
      <c r="D36" s="21"/>
      <c r="E36" s="21"/>
      <c r="F36" s="21"/>
      <c r="G36" s="21"/>
    </row>
    <row r="37" customFormat="false" ht="19.5" hidden="false" customHeight="true" outlineLevel="0" collapsed="false">
      <c r="A37" s="37"/>
      <c r="B37" s="25"/>
      <c r="C37" s="26"/>
      <c r="D37" s="25"/>
      <c r="E37" s="25"/>
      <c r="F37" s="25"/>
      <c r="G37" s="25"/>
    </row>
    <row r="38" customFormat="false" ht="19.5" hidden="false" customHeight="true" outlineLevel="0" collapsed="false">
      <c r="A38" s="38"/>
      <c r="B38" s="21"/>
      <c r="C38" s="22"/>
      <c r="D38" s="21"/>
      <c r="E38" s="21"/>
      <c r="F38" s="21"/>
      <c r="G38" s="21"/>
    </row>
    <row r="39" customFormat="false" ht="19.5" hidden="false" customHeight="true" outlineLevel="0" collapsed="false">
      <c r="A39" s="37"/>
      <c r="B39" s="25"/>
      <c r="C39" s="26"/>
      <c r="D39" s="25"/>
      <c r="E39" s="25"/>
      <c r="F39" s="25"/>
      <c r="G39" s="25"/>
    </row>
    <row r="40" customFormat="false" ht="19.5" hidden="false" customHeight="true" outlineLevel="0" collapsed="false">
      <c r="A40" s="38"/>
      <c r="B40" s="21"/>
      <c r="C40" s="22"/>
      <c r="D40" s="21"/>
      <c r="E40" s="21"/>
      <c r="F40" s="21"/>
      <c r="G40" s="21"/>
    </row>
    <row r="41" customFormat="false" ht="19.5" hidden="false" customHeight="true" outlineLevel="0" collapsed="false">
      <c r="A41" s="37"/>
      <c r="B41" s="25"/>
      <c r="C41" s="26"/>
      <c r="D41" s="25"/>
      <c r="E41" s="25"/>
      <c r="F41" s="25"/>
      <c r="G41" s="25"/>
    </row>
    <row r="42" customFormat="false" ht="19.5" hidden="false" customHeight="true" outlineLevel="0" collapsed="false">
      <c r="A42" s="38"/>
      <c r="B42" s="21"/>
      <c r="C42" s="22"/>
      <c r="D42" s="21"/>
      <c r="E42" s="21"/>
      <c r="F42" s="21"/>
      <c r="G42" s="21"/>
    </row>
    <row r="43" customFormat="false" ht="19.5" hidden="false" customHeight="true" outlineLevel="0" collapsed="false">
      <c r="A43" s="37"/>
      <c r="B43" s="25"/>
      <c r="C43" s="26"/>
      <c r="D43" s="25"/>
      <c r="E43" s="25"/>
      <c r="F43" s="25"/>
      <c r="G43" s="25"/>
    </row>
    <row r="44" customFormat="false" ht="19.5" hidden="false" customHeight="true" outlineLevel="0" collapsed="false">
      <c r="A44" s="38"/>
      <c r="B44" s="21"/>
      <c r="C44" s="22"/>
      <c r="D44" s="21"/>
      <c r="E44" s="21"/>
      <c r="F44" s="21"/>
      <c r="G44" s="21"/>
    </row>
    <row r="45" customFormat="false" ht="19.5" hidden="false" customHeight="true" outlineLevel="0" collapsed="false">
      <c r="A45" s="37"/>
      <c r="B45" s="25"/>
      <c r="C45" s="26"/>
      <c r="D45" s="25"/>
      <c r="E45" s="25"/>
      <c r="F45" s="25"/>
      <c r="G45" s="25"/>
    </row>
    <row r="46" customFormat="false" ht="19.5" hidden="false" customHeight="true" outlineLevel="0" collapsed="false">
      <c r="A46" s="38"/>
      <c r="B46" s="21"/>
      <c r="C46" s="22"/>
      <c r="D46" s="21"/>
      <c r="E46" s="21"/>
      <c r="F46" s="21"/>
      <c r="G46" s="21"/>
    </row>
    <row r="47" customFormat="false" ht="19.5" hidden="false" customHeight="true" outlineLevel="0" collapsed="false">
      <c r="A47" s="37"/>
      <c r="B47" s="25"/>
      <c r="C47" s="26"/>
      <c r="D47" s="25"/>
      <c r="E47" s="25"/>
      <c r="F47" s="25"/>
      <c r="G47" s="25"/>
    </row>
    <row r="48" customFormat="false" ht="19.5" hidden="false" customHeight="true" outlineLevel="0" collapsed="false">
      <c r="A48" s="38"/>
      <c r="B48" s="21"/>
      <c r="C48" s="22"/>
      <c r="D48" s="21"/>
      <c r="E48" s="21"/>
      <c r="F48" s="21"/>
      <c r="G48" s="21"/>
    </row>
    <row r="49" customFormat="false" ht="19.5" hidden="false" customHeight="true" outlineLevel="0" collapsed="false">
      <c r="A49" s="37"/>
      <c r="B49" s="25"/>
      <c r="C49" s="26"/>
      <c r="D49" s="25"/>
      <c r="E49" s="25"/>
      <c r="F49" s="25"/>
      <c r="G49" s="25"/>
    </row>
    <row r="50" customFormat="false" ht="19.5" hidden="false" customHeight="true" outlineLevel="0" collapsed="false">
      <c r="A50" s="38"/>
      <c r="B50" s="21"/>
      <c r="C50" s="22"/>
      <c r="D50" s="21"/>
      <c r="E50" s="21"/>
      <c r="F50" s="21"/>
      <c r="G50" s="21"/>
    </row>
    <row r="51" customFormat="false" ht="19.5" hidden="false" customHeight="true" outlineLevel="0" collapsed="false">
      <c r="A51" s="37"/>
      <c r="B51" s="25"/>
      <c r="C51" s="26"/>
      <c r="D51" s="25"/>
      <c r="E51" s="25"/>
      <c r="F51" s="25"/>
      <c r="G51" s="25"/>
    </row>
    <row r="52" customFormat="false" ht="19.5" hidden="false" customHeight="true" outlineLevel="0" collapsed="false">
      <c r="A52" s="38"/>
      <c r="B52" s="21"/>
      <c r="C52" s="22"/>
      <c r="D52" s="21"/>
      <c r="E52" s="21"/>
      <c r="F52" s="21"/>
      <c r="G52" s="21"/>
    </row>
    <row r="53" customFormat="false" ht="19.5" hidden="false" customHeight="true" outlineLevel="0" collapsed="false">
      <c r="A53" s="37"/>
      <c r="B53" s="25"/>
      <c r="C53" s="26"/>
      <c r="D53" s="25"/>
      <c r="E53" s="25"/>
      <c r="F53" s="25"/>
      <c r="G53" s="25"/>
    </row>
    <row r="54" customFormat="false" ht="19.5" hidden="false" customHeight="true" outlineLevel="0" collapsed="false">
      <c r="A54" s="38"/>
      <c r="B54" s="21"/>
      <c r="C54" s="22"/>
      <c r="D54" s="21"/>
      <c r="E54" s="21"/>
      <c r="F54" s="21"/>
      <c r="G54" s="21"/>
    </row>
    <row r="55" customFormat="false" ht="19.5" hidden="false" customHeight="true" outlineLevel="0" collapsed="false">
      <c r="A55" s="37"/>
      <c r="B55" s="25"/>
      <c r="C55" s="26"/>
      <c r="D55" s="25"/>
      <c r="E55" s="25"/>
      <c r="F55" s="25"/>
      <c r="G55" s="25"/>
    </row>
    <row r="56" customFormat="false" ht="19.5" hidden="false" customHeight="true" outlineLevel="0" collapsed="false">
      <c r="A56" s="38"/>
      <c r="B56" s="21"/>
      <c r="C56" s="22"/>
      <c r="D56" s="21"/>
      <c r="E56" s="21"/>
      <c r="F56" s="21"/>
      <c r="G56" s="21"/>
    </row>
    <row r="57" customFormat="false" ht="19.5" hidden="false" customHeight="true" outlineLevel="0" collapsed="false">
      <c r="A57" s="37"/>
      <c r="B57" s="25"/>
      <c r="C57" s="26"/>
      <c r="D57" s="25"/>
      <c r="E57" s="25"/>
      <c r="F57" s="25"/>
      <c r="G57" s="25"/>
    </row>
    <row r="58" customFormat="false" ht="19.5" hidden="false" customHeight="true" outlineLevel="0" collapsed="false">
      <c r="A58" s="38"/>
      <c r="B58" s="21"/>
      <c r="C58" s="22"/>
      <c r="D58" s="21"/>
      <c r="E58" s="21"/>
      <c r="F58" s="21"/>
      <c r="G58" s="21"/>
    </row>
    <row r="59" customFormat="false" ht="19.5" hidden="false" customHeight="true" outlineLevel="0" collapsed="false">
      <c r="A59" s="37"/>
      <c r="B59" s="25"/>
      <c r="C59" s="26"/>
      <c r="D59" s="25"/>
      <c r="E59" s="25"/>
      <c r="F59" s="25"/>
      <c r="G59" s="25"/>
    </row>
    <row r="60" customFormat="false" ht="19.5" hidden="false" customHeight="true" outlineLevel="0" collapsed="false">
      <c r="A60" s="38"/>
      <c r="B60" s="21"/>
      <c r="C60" s="22"/>
      <c r="D60" s="21"/>
      <c r="E60" s="21"/>
      <c r="F60" s="21"/>
      <c r="G60" s="21"/>
    </row>
    <row r="61" customFormat="false" ht="19.5" hidden="false" customHeight="true" outlineLevel="0" collapsed="false">
      <c r="A61" s="37"/>
      <c r="B61" s="25"/>
      <c r="C61" s="26"/>
      <c r="D61" s="25"/>
      <c r="E61" s="25"/>
      <c r="F61" s="25"/>
      <c r="G61" s="25"/>
    </row>
    <row r="62" customFormat="false" ht="19.5" hidden="false" customHeight="true" outlineLevel="0" collapsed="false">
      <c r="A62" s="38"/>
      <c r="B62" s="21"/>
      <c r="C62" s="22"/>
      <c r="D62" s="21"/>
      <c r="E62" s="21"/>
      <c r="F62" s="21"/>
      <c r="G62" s="21"/>
    </row>
    <row r="63" customFormat="false" ht="19.5" hidden="false" customHeight="true" outlineLevel="0" collapsed="false">
      <c r="A63" s="37"/>
      <c r="B63" s="25"/>
      <c r="C63" s="26"/>
      <c r="D63" s="25"/>
      <c r="E63" s="25"/>
      <c r="F63" s="25"/>
      <c r="G63" s="25"/>
    </row>
    <row r="64" customFormat="false" ht="19.5" hidden="false" customHeight="true" outlineLevel="0" collapsed="false">
      <c r="A64" s="38"/>
      <c r="B64" s="21"/>
      <c r="C64" s="22"/>
      <c r="D64" s="21"/>
      <c r="E64" s="21"/>
      <c r="F64" s="21"/>
      <c r="G64" s="21"/>
    </row>
    <row r="65" customFormat="false" ht="19.5" hidden="false" customHeight="true" outlineLevel="0" collapsed="false">
      <c r="A65" s="37"/>
      <c r="B65" s="25"/>
      <c r="C65" s="26"/>
      <c r="D65" s="25"/>
      <c r="E65" s="25"/>
      <c r="F65" s="25"/>
      <c r="G65" s="25"/>
    </row>
    <row r="66" customFormat="false" ht="19.5" hidden="false" customHeight="true" outlineLevel="0" collapsed="false">
      <c r="A66" s="38"/>
      <c r="B66" s="21"/>
      <c r="C66" s="22"/>
      <c r="D66" s="21"/>
      <c r="E66" s="21"/>
      <c r="F66" s="21"/>
      <c r="G66" s="21"/>
    </row>
    <row r="67" customFormat="false" ht="19.5" hidden="false" customHeight="true" outlineLevel="0" collapsed="false">
      <c r="A67" s="37"/>
      <c r="B67" s="25"/>
      <c r="C67" s="26"/>
      <c r="D67" s="25"/>
      <c r="E67" s="25"/>
      <c r="F67" s="25"/>
      <c r="G67" s="25"/>
    </row>
    <row r="68" customFormat="false" ht="19.5" hidden="false" customHeight="true" outlineLevel="0" collapsed="false">
      <c r="A68" s="38"/>
      <c r="B68" s="21"/>
      <c r="C68" s="22"/>
      <c r="D68" s="21"/>
      <c r="E68" s="21"/>
      <c r="F68" s="21"/>
      <c r="G68" s="21"/>
    </row>
    <row r="69" customFormat="false" ht="19.5" hidden="false" customHeight="true" outlineLevel="0" collapsed="false">
      <c r="A69" s="37"/>
      <c r="B69" s="25"/>
      <c r="C69" s="26"/>
      <c r="D69" s="25"/>
      <c r="E69" s="25"/>
      <c r="F69" s="25"/>
      <c r="G69" s="25"/>
    </row>
    <row r="70" customFormat="false" ht="19.5" hidden="false" customHeight="true" outlineLevel="0" collapsed="false">
      <c r="A70" s="38"/>
      <c r="B70" s="21"/>
      <c r="C70" s="22"/>
      <c r="D70" s="21"/>
      <c r="E70" s="21"/>
      <c r="F70" s="21"/>
      <c r="G70" s="21"/>
    </row>
    <row r="71" customFormat="false" ht="19.5" hidden="false" customHeight="true" outlineLevel="0" collapsed="false">
      <c r="A71" s="37"/>
      <c r="B71" s="25"/>
      <c r="C71" s="26"/>
      <c r="D71" s="25"/>
      <c r="E71" s="25"/>
      <c r="F71" s="25"/>
      <c r="G71" s="25"/>
    </row>
    <row r="72" customFormat="false" ht="19.5" hidden="false" customHeight="true" outlineLevel="0" collapsed="false">
      <c r="A72" s="38"/>
      <c r="B72" s="21"/>
      <c r="C72" s="22"/>
      <c r="D72" s="21"/>
      <c r="E72" s="21"/>
      <c r="F72" s="21"/>
      <c r="G72" s="21"/>
    </row>
    <row r="73" customFormat="false" ht="19.5" hidden="false" customHeight="true" outlineLevel="0" collapsed="false">
      <c r="A73" s="37"/>
      <c r="B73" s="25"/>
      <c r="C73" s="26"/>
      <c r="D73" s="25"/>
      <c r="E73" s="25"/>
      <c r="F73" s="25"/>
      <c r="G73" s="25"/>
    </row>
    <row r="74" customFormat="false" ht="19.5" hidden="false" customHeight="true" outlineLevel="0" collapsed="false">
      <c r="A74" s="38"/>
      <c r="B74" s="21"/>
      <c r="C74" s="22"/>
      <c r="D74" s="21"/>
      <c r="E74" s="21"/>
      <c r="F74" s="21"/>
      <c r="G74" s="21"/>
    </row>
    <row r="75" customFormat="false" ht="19.5" hidden="false" customHeight="true" outlineLevel="0" collapsed="false">
      <c r="A75" s="37"/>
      <c r="B75" s="25"/>
      <c r="C75" s="26"/>
      <c r="D75" s="25"/>
      <c r="E75" s="25"/>
      <c r="F75" s="25"/>
      <c r="G75" s="25"/>
    </row>
    <row r="76" customFormat="false" ht="19.5" hidden="false" customHeight="true" outlineLevel="0" collapsed="false">
      <c r="A76" s="38"/>
      <c r="B76" s="21"/>
      <c r="C76" s="22"/>
      <c r="D76" s="21"/>
      <c r="E76" s="21"/>
      <c r="F76" s="21"/>
      <c r="G76" s="21"/>
    </row>
    <row r="77" customFormat="false" ht="19.5" hidden="false" customHeight="true" outlineLevel="0" collapsed="false">
      <c r="A77" s="37"/>
      <c r="B77" s="25"/>
      <c r="C77" s="26"/>
      <c r="D77" s="25"/>
      <c r="E77" s="25"/>
      <c r="F77" s="25"/>
      <c r="G77" s="25"/>
    </row>
    <row r="78" customFormat="false" ht="19.5" hidden="false" customHeight="true" outlineLevel="0" collapsed="false">
      <c r="A78" s="38"/>
      <c r="B78" s="21"/>
      <c r="C78" s="22"/>
      <c r="D78" s="21"/>
      <c r="E78" s="21"/>
      <c r="F78" s="21"/>
      <c r="G78" s="21"/>
    </row>
    <row r="79" customFormat="false" ht="19.5" hidden="false" customHeight="true" outlineLevel="0" collapsed="false">
      <c r="A79" s="37"/>
      <c r="B79" s="25"/>
      <c r="C79" s="26"/>
      <c r="D79" s="25"/>
      <c r="E79" s="25"/>
      <c r="F79" s="25"/>
      <c r="G79" s="25"/>
    </row>
    <row r="80" customFormat="false" ht="19.5" hidden="false" customHeight="true" outlineLevel="0" collapsed="false">
      <c r="A80" s="38"/>
      <c r="B80" s="21"/>
      <c r="C80" s="22"/>
      <c r="D80" s="21"/>
      <c r="E80" s="21"/>
      <c r="F80" s="21"/>
      <c r="G80" s="21"/>
    </row>
    <row r="81" customFormat="false" ht="19.5" hidden="false" customHeight="true" outlineLevel="0" collapsed="false">
      <c r="A81" s="37"/>
      <c r="B81" s="25"/>
      <c r="C81" s="26"/>
      <c r="D81" s="25"/>
      <c r="E81" s="25"/>
      <c r="F81" s="25"/>
      <c r="G81" s="25"/>
    </row>
    <row r="82" customFormat="false" ht="19.5" hidden="false" customHeight="true" outlineLevel="0" collapsed="false">
      <c r="A82" s="38"/>
      <c r="B82" s="21"/>
      <c r="C82" s="22"/>
      <c r="D82" s="21"/>
      <c r="E82" s="21"/>
      <c r="F82" s="21"/>
      <c r="G82" s="21"/>
    </row>
    <row r="83" customFormat="false" ht="19.5" hidden="false" customHeight="true" outlineLevel="0" collapsed="false">
      <c r="A83" s="37"/>
      <c r="B83" s="25"/>
      <c r="C83" s="26"/>
      <c r="D83" s="25"/>
      <c r="E83" s="25"/>
      <c r="F83" s="25"/>
      <c r="G83" s="25"/>
    </row>
    <row r="84" customFormat="false" ht="19.5" hidden="false" customHeight="true" outlineLevel="0" collapsed="false">
      <c r="A84" s="38"/>
      <c r="B84" s="21"/>
      <c r="C84" s="22"/>
      <c r="D84" s="21"/>
      <c r="E84" s="21"/>
      <c r="F84" s="21"/>
      <c r="G84" s="21"/>
    </row>
    <row r="85" customFormat="false" ht="19.5" hidden="false" customHeight="true" outlineLevel="0" collapsed="false">
      <c r="A85" s="37"/>
      <c r="B85" s="25"/>
      <c r="C85" s="26"/>
      <c r="D85" s="25"/>
      <c r="E85" s="25"/>
      <c r="F85" s="25"/>
      <c r="G85" s="25"/>
    </row>
    <row r="86" customFormat="false" ht="19.5" hidden="false" customHeight="true" outlineLevel="0" collapsed="false">
      <c r="A86" s="38"/>
      <c r="B86" s="21"/>
      <c r="C86" s="22"/>
      <c r="D86" s="21"/>
      <c r="E86" s="21"/>
      <c r="F86" s="21"/>
      <c r="G86" s="21"/>
    </row>
    <row r="87" customFormat="false" ht="19.5" hidden="false" customHeight="true" outlineLevel="0" collapsed="false">
      <c r="A87" s="37"/>
      <c r="B87" s="25"/>
      <c r="C87" s="26"/>
      <c r="D87" s="25"/>
      <c r="E87" s="25"/>
      <c r="F87" s="25"/>
      <c r="G87" s="25"/>
    </row>
    <row r="88" customFormat="false" ht="19.5" hidden="false" customHeight="true" outlineLevel="0" collapsed="false">
      <c r="A88" s="38"/>
      <c r="B88" s="21"/>
      <c r="C88" s="22"/>
      <c r="D88" s="21"/>
      <c r="E88" s="21"/>
      <c r="F88" s="21"/>
      <c r="G88" s="21"/>
    </row>
    <row r="89" customFormat="false" ht="19.5" hidden="false" customHeight="true" outlineLevel="0" collapsed="false">
      <c r="A89" s="37"/>
      <c r="B89" s="25"/>
      <c r="C89" s="26"/>
      <c r="D89" s="25"/>
      <c r="E89" s="25"/>
      <c r="F89" s="25"/>
      <c r="G89" s="25"/>
    </row>
    <row r="90" customFormat="false" ht="19.5" hidden="false" customHeight="true" outlineLevel="0" collapsed="false">
      <c r="A90" s="38"/>
      <c r="B90" s="21"/>
      <c r="C90" s="22"/>
      <c r="D90" s="21"/>
      <c r="E90" s="21"/>
      <c r="F90" s="21"/>
      <c r="G90" s="21"/>
    </row>
    <row r="91" customFormat="false" ht="19.5" hidden="false" customHeight="true" outlineLevel="0" collapsed="false">
      <c r="A91" s="37"/>
      <c r="B91" s="25"/>
      <c r="C91" s="26"/>
      <c r="D91" s="25"/>
      <c r="E91" s="25"/>
      <c r="F91" s="25"/>
      <c r="G91" s="25"/>
    </row>
    <row r="92" customFormat="false" ht="19.5" hidden="false" customHeight="true" outlineLevel="0" collapsed="false">
      <c r="A92" s="38"/>
      <c r="B92" s="21"/>
      <c r="C92" s="22"/>
      <c r="D92" s="21"/>
      <c r="E92" s="21"/>
      <c r="F92" s="21"/>
      <c r="G92" s="21"/>
    </row>
    <row r="93" customFormat="false" ht="19.5" hidden="false" customHeight="true" outlineLevel="0" collapsed="false">
      <c r="A93" s="37"/>
      <c r="B93" s="25"/>
      <c r="C93" s="26"/>
      <c r="D93" s="25"/>
      <c r="E93" s="25"/>
      <c r="F93" s="25"/>
      <c r="G93" s="25"/>
    </row>
    <row r="94" customFormat="false" ht="19.5" hidden="false" customHeight="true" outlineLevel="0" collapsed="false">
      <c r="A94" s="38"/>
      <c r="B94" s="21"/>
      <c r="C94" s="22"/>
      <c r="D94" s="21"/>
      <c r="E94" s="21"/>
      <c r="F94" s="21"/>
      <c r="G94" s="21"/>
    </row>
    <row r="95" customFormat="false" ht="19.5" hidden="false" customHeight="true" outlineLevel="0" collapsed="false">
      <c r="A95" s="37"/>
      <c r="B95" s="25"/>
      <c r="C95" s="26"/>
      <c r="D95" s="25"/>
      <c r="E95" s="25"/>
      <c r="F95" s="25"/>
      <c r="G95" s="25"/>
    </row>
    <row r="96" customFormat="false" ht="19.5" hidden="false" customHeight="true" outlineLevel="0" collapsed="false">
      <c r="A96" s="38"/>
      <c r="B96" s="21"/>
      <c r="C96" s="22"/>
      <c r="D96" s="21"/>
      <c r="E96" s="21"/>
      <c r="F96" s="21"/>
      <c r="G96" s="21"/>
    </row>
    <row r="97" customFormat="false" ht="19.5" hidden="false" customHeight="true" outlineLevel="0" collapsed="false">
      <c r="A97" s="37"/>
      <c r="B97" s="25"/>
      <c r="C97" s="26"/>
      <c r="D97" s="25"/>
      <c r="E97" s="25"/>
      <c r="F97" s="25"/>
      <c r="G97" s="25"/>
    </row>
    <row r="98" customFormat="false" ht="19.5" hidden="false" customHeight="true" outlineLevel="0" collapsed="false">
      <c r="A98" s="38"/>
      <c r="B98" s="21"/>
      <c r="C98" s="22"/>
      <c r="D98" s="21"/>
      <c r="E98" s="21"/>
      <c r="F98" s="21"/>
      <c r="G98" s="21"/>
    </row>
    <row r="99" customFormat="false" ht="19.5" hidden="false" customHeight="true" outlineLevel="0" collapsed="false">
      <c r="A99" s="37"/>
      <c r="B99" s="25"/>
      <c r="C99" s="26"/>
      <c r="D99" s="25"/>
      <c r="E99" s="25"/>
      <c r="F99" s="25"/>
      <c r="G99" s="25"/>
    </row>
    <row r="100" customFormat="false" ht="19.5" hidden="false" customHeight="true" outlineLevel="0" collapsed="false">
      <c r="A100" s="38"/>
      <c r="B100" s="21"/>
      <c r="C100" s="22"/>
      <c r="D100" s="21"/>
      <c r="E100" s="21"/>
      <c r="F100" s="21"/>
      <c r="G100" s="21"/>
    </row>
    <row r="101" customFormat="false" ht="19.5" hidden="false" customHeight="true" outlineLevel="0" collapsed="false">
      <c r="A101" s="37"/>
      <c r="B101" s="25"/>
      <c r="C101" s="26"/>
      <c r="D101" s="25"/>
      <c r="E101" s="25"/>
      <c r="F101" s="25"/>
      <c r="G101" s="25"/>
    </row>
    <row r="102" customFormat="false" ht="19.5" hidden="false" customHeight="true" outlineLevel="0" collapsed="false">
      <c r="A102" s="38"/>
      <c r="B102" s="21"/>
      <c r="C102" s="22"/>
      <c r="D102" s="21"/>
      <c r="E102" s="21"/>
      <c r="F102" s="21"/>
      <c r="G102" s="21"/>
    </row>
    <row r="103" customFormat="false" ht="19.5" hidden="false" customHeight="true" outlineLevel="0" collapsed="false">
      <c r="A103" s="37"/>
      <c r="B103" s="25"/>
      <c r="C103" s="26"/>
      <c r="D103" s="25"/>
      <c r="E103" s="25"/>
      <c r="F103" s="25"/>
      <c r="G103" s="25"/>
    </row>
    <row r="104" customFormat="false" ht="19.5" hidden="false" customHeight="true" outlineLevel="0" collapsed="false">
      <c r="A104" s="38"/>
      <c r="B104" s="21"/>
      <c r="C104" s="22"/>
      <c r="D104" s="21"/>
      <c r="E104" s="21"/>
      <c r="F104" s="21"/>
      <c r="G104" s="21"/>
    </row>
    <row r="105" customFormat="false" ht="19.5" hidden="false" customHeight="true" outlineLevel="0" collapsed="false">
      <c r="A105" s="37"/>
      <c r="B105" s="25"/>
      <c r="C105" s="26"/>
      <c r="D105" s="25"/>
      <c r="E105" s="25"/>
      <c r="F105" s="25"/>
      <c r="G105" s="25"/>
    </row>
    <row r="106" customFormat="false" ht="19.5" hidden="false" customHeight="true" outlineLevel="0" collapsed="false">
      <c r="A106" s="38"/>
      <c r="B106" s="21"/>
      <c r="C106" s="22"/>
      <c r="D106" s="21"/>
      <c r="E106" s="21"/>
      <c r="F106" s="21"/>
      <c r="G106" s="21"/>
    </row>
    <row r="107" customFormat="false" ht="19.5" hidden="false" customHeight="true" outlineLevel="0" collapsed="false">
      <c r="A107" s="37"/>
      <c r="B107" s="25"/>
      <c r="C107" s="26"/>
      <c r="D107" s="25"/>
      <c r="E107" s="25"/>
      <c r="F107" s="25"/>
      <c r="G107" s="25"/>
    </row>
    <row r="108" customFormat="false" ht="19.5" hidden="false" customHeight="true" outlineLevel="0" collapsed="false">
      <c r="A108" s="38"/>
      <c r="B108" s="21"/>
      <c r="C108" s="22"/>
      <c r="D108" s="21"/>
      <c r="E108" s="21"/>
      <c r="F108" s="21"/>
      <c r="G108" s="21"/>
    </row>
    <row r="109" customFormat="false" ht="19.5" hidden="false" customHeight="true" outlineLevel="0" collapsed="false">
      <c r="A109" s="37"/>
      <c r="B109" s="25"/>
      <c r="C109" s="26"/>
      <c r="D109" s="25"/>
      <c r="E109" s="25"/>
      <c r="F109" s="25"/>
      <c r="G109" s="25"/>
    </row>
    <row r="110" customFormat="false" ht="19.5" hidden="false" customHeight="true" outlineLevel="0" collapsed="false">
      <c r="A110" s="38"/>
      <c r="B110" s="21"/>
      <c r="C110" s="22"/>
      <c r="D110" s="21"/>
      <c r="E110" s="21"/>
      <c r="F110" s="21"/>
      <c r="G110" s="21"/>
    </row>
    <row r="111" customFormat="false" ht="19.5" hidden="false" customHeight="true" outlineLevel="0" collapsed="false">
      <c r="A111" s="37"/>
      <c r="B111" s="25"/>
      <c r="C111" s="26"/>
      <c r="D111" s="25"/>
      <c r="E111" s="25"/>
      <c r="F111" s="25"/>
      <c r="G111" s="25"/>
    </row>
    <row r="112" customFormat="false" ht="19.5" hidden="false" customHeight="true" outlineLevel="0" collapsed="false">
      <c r="A112" s="38"/>
      <c r="B112" s="21"/>
      <c r="C112" s="22"/>
      <c r="D112" s="21"/>
      <c r="E112" s="21"/>
      <c r="F112" s="21"/>
      <c r="G112" s="21"/>
    </row>
    <row r="113" customFormat="false" ht="19.5" hidden="false" customHeight="true" outlineLevel="0" collapsed="false">
      <c r="A113" s="37"/>
      <c r="B113" s="25"/>
      <c r="C113" s="26"/>
      <c r="D113" s="25"/>
      <c r="E113" s="25"/>
      <c r="F113" s="25"/>
      <c r="G113" s="25"/>
    </row>
    <row r="114" customFormat="false" ht="19.5" hidden="false" customHeight="true" outlineLevel="0" collapsed="false">
      <c r="A114" s="38"/>
      <c r="B114" s="21"/>
      <c r="C114" s="22"/>
      <c r="D114" s="21"/>
      <c r="E114" s="21"/>
      <c r="F114" s="21"/>
      <c r="G114" s="21"/>
    </row>
    <row r="115" customFormat="false" ht="19.5" hidden="false" customHeight="true" outlineLevel="0" collapsed="false">
      <c r="A115" s="37"/>
      <c r="B115" s="25"/>
      <c r="C115" s="26"/>
      <c r="D115" s="25"/>
      <c r="E115" s="25"/>
      <c r="F115" s="25"/>
      <c r="G115" s="25"/>
    </row>
    <row r="116" customFormat="false" ht="19.5" hidden="false" customHeight="true" outlineLevel="0" collapsed="false">
      <c r="A116" s="38"/>
      <c r="B116" s="21"/>
      <c r="C116" s="22"/>
      <c r="D116" s="21"/>
      <c r="E116" s="21"/>
      <c r="F116" s="21"/>
      <c r="G116" s="21"/>
    </row>
    <row r="117" customFormat="false" ht="19.5" hidden="false" customHeight="true" outlineLevel="0" collapsed="false">
      <c r="A117" s="37"/>
      <c r="B117" s="25"/>
      <c r="C117" s="26"/>
      <c r="D117" s="25"/>
      <c r="E117" s="25"/>
      <c r="F117" s="25"/>
      <c r="G117" s="25"/>
    </row>
    <row r="118" customFormat="false" ht="19.5" hidden="false" customHeight="true" outlineLevel="0" collapsed="false">
      <c r="A118" s="38"/>
      <c r="B118" s="21"/>
      <c r="C118" s="22"/>
      <c r="D118" s="21"/>
      <c r="E118" s="21"/>
      <c r="F118" s="21"/>
      <c r="G118" s="21"/>
    </row>
    <row r="119" customFormat="false" ht="19.5" hidden="false" customHeight="true" outlineLevel="0" collapsed="false">
      <c r="A119" s="37"/>
      <c r="B119" s="25"/>
      <c r="C119" s="26"/>
      <c r="D119" s="25"/>
      <c r="E119" s="25"/>
      <c r="F119" s="25"/>
      <c r="G119" s="25"/>
    </row>
    <row r="120" customFormat="false" ht="19.5" hidden="false" customHeight="true" outlineLevel="0" collapsed="false">
      <c r="A120" s="38"/>
      <c r="B120" s="21"/>
      <c r="C120" s="22"/>
      <c r="D120" s="21"/>
      <c r="E120" s="21"/>
      <c r="F120" s="21"/>
      <c r="G120" s="21"/>
    </row>
    <row r="121" customFormat="false" ht="19.5" hidden="false" customHeight="true" outlineLevel="0" collapsed="false">
      <c r="A121" s="37"/>
      <c r="B121" s="25"/>
      <c r="C121" s="26"/>
      <c r="D121" s="25"/>
      <c r="E121" s="25"/>
      <c r="F121" s="25"/>
      <c r="G121" s="25"/>
    </row>
    <row r="122" customFormat="false" ht="19.5" hidden="false" customHeight="true" outlineLevel="0" collapsed="false">
      <c r="A122" s="38"/>
      <c r="B122" s="21"/>
      <c r="C122" s="22"/>
      <c r="D122" s="21"/>
      <c r="E122" s="21"/>
      <c r="F122" s="21"/>
      <c r="G122" s="21"/>
    </row>
    <row r="123" customFormat="false" ht="19.5" hidden="false" customHeight="true" outlineLevel="0" collapsed="false">
      <c r="A123" s="37"/>
      <c r="B123" s="25"/>
      <c r="C123" s="26"/>
      <c r="D123" s="25"/>
      <c r="E123" s="25"/>
      <c r="F123" s="25"/>
      <c r="G123" s="25"/>
    </row>
    <row r="124" customFormat="false" ht="19.5" hidden="false" customHeight="true" outlineLevel="0" collapsed="false">
      <c r="A124" s="38"/>
      <c r="B124" s="21"/>
      <c r="C124" s="22"/>
      <c r="D124" s="21"/>
      <c r="E124" s="21"/>
      <c r="F124" s="21"/>
      <c r="G124" s="21"/>
    </row>
    <row r="125" customFormat="false" ht="19.5" hidden="false" customHeight="true" outlineLevel="0" collapsed="false">
      <c r="A125" s="37"/>
      <c r="B125" s="25"/>
      <c r="C125" s="26"/>
      <c r="D125" s="25"/>
      <c r="E125" s="25"/>
      <c r="F125" s="25"/>
      <c r="G125" s="25"/>
    </row>
    <row r="126" customFormat="false" ht="19.5" hidden="false" customHeight="true" outlineLevel="0" collapsed="false">
      <c r="A126" s="38"/>
      <c r="B126" s="21"/>
      <c r="C126" s="22"/>
      <c r="D126" s="21"/>
      <c r="E126" s="21"/>
      <c r="F126" s="21"/>
      <c r="G126" s="21"/>
    </row>
    <row r="127" customFormat="false" ht="19.5" hidden="false" customHeight="true" outlineLevel="0" collapsed="false">
      <c r="A127" s="37"/>
      <c r="B127" s="25"/>
      <c r="C127" s="26"/>
      <c r="D127" s="25"/>
      <c r="E127" s="25"/>
      <c r="F127" s="25"/>
      <c r="G127" s="25"/>
    </row>
    <row r="128" customFormat="false" ht="19.5" hidden="false" customHeight="true" outlineLevel="0" collapsed="false">
      <c r="A128" s="38"/>
      <c r="B128" s="21"/>
      <c r="C128" s="22"/>
      <c r="D128" s="21"/>
      <c r="E128" s="21"/>
      <c r="F128" s="21"/>
      <c r="G128" s="21"/>
    </row>
    <row r="129" customFormat="false" ht="19.5" hidden="false" customHeight="true" outlineLevel="0" collapsed="false">
      <c r="A129" s="37"/>
      <c r="B129" s="25"/>
      <c r="C129" s="26"/>
      <c r="D129" s="25"/>
      <c r="E129" s="25"/>
      <c r="F129" s="25"/>
      <c r="G129" s="25"/>
    </row>
    <row r="130" customFormat="false" ht="19.5" hidden="false" customHeight="true" outlineLevel="0" collapsed="false">
      <c r="A130" s="38"/>
      <c r="B130" s="21"/>
      <c r="C130" s="22"/>
      <c r="D130" s="21"/>
      <c r="E130" s="21"/>
      <c r="F130" s="21"/>
      <c r="G130" s="21"/>
    </row>
    <row r="131" customFormat="false" ht="19.5" hidden="false" customHeight="true" outlineLevel="0" collapsed="false">
      <c r="A131" s="37"/>
      <c r="B131" s="25"/>
      <c r="C131" s="26"/>
      <c r="D131" s="25"/>
      <c r="E131" s="25"/>
      <c r="F131" s="25"/>
      <c r="G131" s="25"/>
    </row>
    <row r="132" customFormat="false" ht="19.5" hidden="false" customHeight="true" outlineLevel="0" collapsed="false">
      <c r="A132" s="38"/>
      <c r="B132" s="21"/>
      <c r="C132" s="22"/>
      <c r="D132" s="21"/>
      <c r="E132" s="21"/>
      <c r="F132" s="21"/>
      <c r="G132" s="21"/>
    </row>
    <row r="133" customFormat="false" ht="19.5" hidden="false" customHeight="true" outlineLevel="0" collapsed="false">
      <c r="A133" s="37"/>
      <c r="B133" s="25"/>
      <c r="C133" s="26"/>
      <c r="D133" s="25"/>
      <c r="E133" s="25"/>
      <c r="F133" s="25"/>
      <c r="G133" s="25"/>
    </row>
    <row r="134" customFormat="false" ht="19.5" hidden="false" customHeight="true" outlineLevel="0" collapsed="false">
      <c r="A134" s="38"/>
      <c r="B134" s="21"/>
      <c r="C134" s="22"/>
      <c r="D134" s="21"/>
      <c r="E134" s="21"/>
      <c r="F134" s="21"/>
      <c r="G134" s="21"/>
    </row>
    <row r="135" customFormat="false" ht="19.5" hidden="false" customHeight="true" outlineLevel="0" collapsed="false">
      <c r="A135" s="37"/>
      <c r="B135" s="25"/>
      <c r="C135" s="26"/>
      <c r="D135" s="25"/>
      <c r="E135" s="25"/>
      <c r="F135" s="25"/>
      <c r="G135" s="25"/>
    </row>
    <row r="136" customFormat="false" ht="19.5" hidden="false" customHeight="true" outlineLevel="0" collapsed="false">
      <c r="A136" s="38"/>
      <c r="B136" s="21"/>
      <c r="C136" s="22"/>
      <c r="D136" s="21"/>
      <c r="E136" s="21"/>
      <c r="F136" s="21"/>
      <c r="G136" s="21"/>
    </row>
    <row r="137" customFormat="false" ht="19.5" hidden="false" customHeight="true" outlineLevel="0" collapsed="false">
      <c r="A137" s="37"/>
      <c r="B137" s="25"/>
      <c r="C137" s="26"/>
      <c r="D137" s="25"/>
      <c r="E137" s="25"/>
      <c r="F137" s="25"/>
      <c r="G137" s="25"/>
    </row>
    <row r="138" customFormat="false" ht="19.5" hidden="false" customHeight="true" outlineLevel="0" collapsed="false">
      <c r="A138" s="38"/>
      <c r="B138" s="21"/>
      <c r="C138" s="22"/>
      <c r="D138" s="21"/>
      <c r="E138" s="21"/>
      <c r="F138" s="21"/>
      <c r="G138" s="21"/>
    </row>
    <row r="139" customFormat="false" ht="19.5" hidden="false" customHeight="true" outlineLevel="0" collapsed="false">
      <c r="A139" s="37"/>
      <c r="B139" s="25"/>
      <c r="C139" s="26"/>
      <c r="D139" s="25"/>
      <c r="E139" s="25"/>
      <c r="F139" s="25"/>
      <c r="G139" s="25"/>
    </row>
    <row r="140" customFormat="false" ht="19.5" hidden="false" customHeight="true" outlineLevel="0" collapsed="false">
      <c r="A140" s="38"/>
      <c r="B140" s="21"/>
      <c r="C140" s="22"/>
      <c r="D140" s="21"/>
      <c r="E140" s="21"/>
      <c r="F140" s="21"/>
      <c r="G140" s="21"/>
    </row>
    <row r="141" customFormat="false" ht="19.5" hidden="false" customHeight="true" outlineLevel="0" collapsed="false">
      <c r="A141" s="37"/>
      <c r="B141" s="25"/>
      <c r="C141" s="26"/>
      <c r="D141" s="25"/>
      <c r="E141" s="25"/>
      <c r="F141" s="25"/>
      <c r="G141" s="25"/>
    </row>
    <row r="142" customFormat="false" ht="19.5" hidden="false" customHeight="true" outlineLevel="0" collapsed="false">
      <c r="A142" s="38"/>
      <c r="B142" s="21"/>
      <c r="C142" s="22"/>
      <c r="D142" s="21"/>
      <c r="E142" s="21"/>
      <c r="F142" s="21"/>
      <c r="G142" s="21"/>
    </row>
    <row r="143" customFormat="false" ht="19.5" hidden="false" customHeight="true" outlineLevel="0" collapsed="false">
      <c r="A143" s="37"/>
      <c r="B143" s="25"/>
      <c r="C143" s="26"/>
      <c r="D143" s="25"/>
      <c r="E143" s="25"/>
      <c r="F143" s="25"/>
      <c r="G143" s="25"/>
    </row>
    <row r="144" customFormat="false" ht="19.5" hidden="false" customHeight="true" outlineLevel="0" collapsed="false">
      <c r="A144" s="38"/>
      <c r="B144" s="21"/>
      <c r="C144" s="22"/>
      <c r="D144" s="21"/>
      <c r="E144" s="21"/>
      <c r="F144" s="21"/>
      <c r="G144" s="21"/>
    </row>
    <row r="145" customFormat="false" ht="19.5" hidden="false" customHeight="true" outlineLevel="0" collapsed="false">
      <c r="A145" s="37"/>
      <c r="B145" s="25"/>
      <c r="C145" s="26"/>
      <c r="D145" s="25"/>
      <c r="E145" s="25"/>
      <c r="F145" s="25"/>
      <c r="G145" s="25"/>
    </row>
    <row r="146" customFormat="false" ht="19.5" hidden="false" customHeight="true" outlineLevel="0" collapsed="false">
      <c r="A146" s="38"/>
      <c r="B146" s="21"/>
      <c r="C146" s="22"/>
      <c r="D146" s="21"/>
      <c r="E146" s="21"/>
      <c r="F146" s="21"/>
      <c r="G146" s="21"/>
    </row>
    <row r="147" customFormat="false" ht="19.5" hidden="false" customHeight="true" outlineLevel="0" collapsed="false">
      <c r="A147" s="37"/>
      <c r="B147" s="25"/>
      <c r="C147" s="26"/>
      <c r="D147" s="25"/>
      <c r="E147" s="25"/>
      <c r="F147" s="25"/>
      <c r="G147" s="25"/>
    </row>
    <row r="148" customFormat="false" ht="19.5" hidden="false" customHeight="true" outlineLevel="0" collapsed="false">
      <c r="A148" s="38"/>
      <c r="B148" s="21"/>
      <c r="C148" s="22"/>
      <c r="D148" s="21"/>
      <c r="E148" s="21"/>
      <c r="F148" s="21"/>
      <c r="G148" s="21"/>
    </row>
    <row r="149" customFormat="false" ht="19.5" hidden="false" customHeight="true" outlineLevel="0" collapsed="false">
      <c r="A149" s="37"/>
      <c r="B149" s="25"/>
      <c r="C149" s="26"/>
      <c r="D149" s="25"/>
      <c r="E149" s="25"/>
      <c r="F149" s="25"/>
      <c r="G149" s="25"/>
    </row>
    <row r="150" customFormat="false" ht="19.5" hidden="false" customHeight="true" outlineLevel="0" collapsed="false">
      <c r="A150" s="38"/>
      <c r="B150" s="21"/>
      <c r="C150" s="22"/>
      <c r="D150" s="21"/>
      <c r="E150" s="21"/>
      <c r="F150" s="21"/>
      <c r="G150" s="21"/>
    </row>
    <row r="151" customFormat="false" ht="19.5" hidden="false" customHeight="true" outlineLevel="0" collapsed="false">
      <c r="A151" s="37"/>
      <c r="B151" s="25"/>
      <c r="C151" s="26"/>
      <c r="D151" s="25"/>
      <c r="E151" s="25"/>
      <c r="F151" s="25"/>
      <c r="G151" s="25"/>
    </row>
    <row r="152" customFormat="false" ht="19.5" hidden="false" customHeight="true" outlineLevel="0" collapsed="false">
      <c r="A152" s="38"/>
      <c r="B152" s="21"/>
      <c r="C152" s="22"/>
      <c r="D152" s="21"/>
      <c r="E152" s="21"/>
      <c r="F152" s="21"/>
      <c r="G152" s="21"/>
    </row>
    <row r="153" customFormat="false" ht="19.5" hidden="false" customHeight="true" outlineLevel="0" collapsed="false">
      <c r="A153" s="37"/>
      <c r="B153" s="25"/>
      <c r="C153" s="26"/>
      <c r="D153" s="25"/>
      <c r="E153" s="25"/>
      <c r="F153" s="25"/>
      <c r="G153" s="25"/>
    </row>
    <row r="154" customFormat="false" ht="19.5" hidden="false" customHeight="true" outlineLevel="0" collapsed="false">
      <c r="A154" s="38"/>
      <c r="B154" s="21"/>
      <c r="C154" s="22"/>
      <c r="D154" s="21"/>
      <c r="E154" s="21"/>
      <c r="F154" s="21"/>
      <c r="G154" s="21"/>
    </row>
    <row r="155" customFormat="false" ht="19.5" hidden="false" customHeight="true" outlineLevel="0" collapsed="false">
      <c r="A155" s="37"/>
      <c r="B155" s="25"/>
      <c r="C155" s="26"/>
      <c r="D155" s="25"/>
      <c r="E155" s="25"/>
      <c r="F155" s="25"/>
      <c r="G155" s="25"/>
    </row>
    <row r="156" customFormat="false" ht="19.5" hidden="false" customHeight="true" outlineLevel="0" collapsed="false">
      <c r="A156" s="38"/>
      <c r="B156" s="21"/>
      <c r="C156" s="22"/>
      <c r="D156" s="21"/>
      <c r="E156" s="21"/>
      <c r="F156" s="21"/>
      <c r="G156" s="21"/>
    </row>
    <row r="157" customFormat="false" ht="19.5" hidden="false" customHeight="true" outlineLevel="0" collapsed="false">
      <c r="A157" s="37"/>
      <c r="B157" s="25"/>
      <c r="C157" s="26"/>
      <c r="D157" s="25"/>
      <c r="E157" s="25"/>
      <c r="F157" s="25"/>
      <c r="G157" s="25"/>
    </row>
    <row r="158" customFormat="false" ht="19.5" hidden="false" customHeight="true" outlineLevel="0" collapsed="false">
      <c r="A158" s="38"/>
      <c r="B158" s="21"/>
      <c r="C158" s="22"/>
      <c r="D158" s="21"/>
      <c r="E158" s="21"/>
      <c r="F158" s="21"/>
      <c r="G158" s="21"/>
    </row>
    <row r="159" customFormat="false" ht="19.5" hidden="false" customHeight="true" outlineLevel="0" collapsed="false">
      <c r="A159" s="37"/>
      <c r="B159" s="25"/>
      <c r="C159" s="26"/>
      <c r="D159" s="25"/>
      <c r="E159" s="25"/>
      <c r="F159" s="25"/>
      <c r="G159" s="25"/>
    </row>
    <row r="160" customFormat="false" ht="19.5" hidden="false" customHeight="true" outlineLevel="0" collapsed="false">
      <c r="A160" s="38"/>
      <c r="B160" s="21"/>
      <c r="C160" s="22"/>
      <c r="D160" s="21"/>
      <c r="E160" s="21"/>
      <c r="F160" s="21"/>
      <c r="G160" s="21"/>
    </row>
    <row r="161" customFormat="false" ht="19.5" hidden="false" customHeight="true" outlineLevel="0" collapsed="false">
      <c r="A161" s="37"/>
      <c r="B161" s="25"/>
      <c r="C161" s="26"/>
      <c r="D161" s="25"/>
      <c r="E161" s="25"/>
      <c r="F161" s="25"/>
      <c r="G161" s="25"/>
    </row>
    <row r="162" customFormat="false" ht="19.5" hidden="false" customHeight="true" outlineLevel="0" collapsed="false">
      <c r="A162" s="38"/>
      <c r="B162" s="21"/>
      <c r="C162" s="22"/>
      <c r="D162" s="21"/>
      <c r="E162" s="21"/>
      <c r="F162" s="21"/>
      <c r="G162" s="21"/>
    </row>
    <row r="163" customFormat="false" ht="19.5" hidden="false" customHeight="true" outlineLevel="0" collapsed="false">
      <c r="A163" s="37"/>
      <c r="B163" s="25"/>
      <c r="C163" s="26"/>
      <c r="D163" s="25"/>
      <c r="E163" s="25"/>
      <c r="F163" s="25"/>
      <c r="G163" s="25"/>
    </row>
    <row r="164" customFormat="false" ht="19.5" hidden="false" customHeight="true" outlineLevel="0" collapsed="false">
      <c r="A164" s="38"/>
      <c r="B164" s="21"/>
      <c r="C164" s="22"/>
      <c r="D164" s="21"/>
      <c r="E164" s="21"/>
      <c r="F164" s="21"/>
      <c r="G164" s="21"/>
    </row>
    <row r="165" customFormat="false" ht="19.5" hidden="false" customHeight="true" outlineLevel="0" collapsed="false">
      <c r="A165" s="37"/>
      <c r="B165" s="25"/>
      <c r="C165" s="26"/>
      <c r="D165" s="25"/>
      <c r="E165" s="25"/>
      <c r="F165" s="25"/>
      <c r="G165" s="25"/>
    </row>
    <row r="166" customFormat="false" ht="19.5" hidden="false" customHeight="true" outlineLevel="0" collapsed="false">
      <c r="A166" s="38"/>
      <c r="B166" s="21"/>
      <c r="C166" s="22"/>
      <c r="D166" s="21"/>
      <c r="E166" s="21"/>
      <c r="F166" s="21"/>
      <c r="G166" s="21"/>
    </row>
    <row r="167" customFormat="false" ht="19.5" hidden="false" customHeight="true" outlineLevel="0" collapsed="false">
      <c r="A167" s="37"/>
      <c r="B167" s="25"/>
      <c r="C167" s="26"/>
      <c r="D167" s="25"/>
      <c r="E167" s="25"/>
      <c r="F167" s="25"/>
      <c r="G167" s="25"/>
    </row>
    <row r="168" customFormat="false" ht="19.5" hidden="false" customHeight="true" outlineLevel="0" collapsed="false">
      <c r="A168" s="38"/>
      <c r="B168" s="21"/>
      <c r="C168" s="22"/>
      <c r="D168" s="21"/>
      <c r="E168" s="21"/>
      <c r="F168" s="21"/>
      <c r="G168" s="21"/>
    </row>
    <row r="169" customFormat="false" ht="19.5" hidden="false" customHeight="true" outlineLevel="0" collapsed="false">
      <c r="A169" s="37"/>
      <c r="B169" s="25"/>
      <c r="C169" s="26"/>
      <c r="D169" s="25"/>
      <c r="E169" s="25"/>
      <c r="F169" s="25"/>
      <c r="G169" s="25"/>
    </row>
    <row r="170" customFormat="false" ht="19.5" hidden="false" customHeight="true" outlineLevel="0" collapsed="false">
      <c r="A170" s="38"/>
      <c r="B170" s="21"/>
      <c r="C170" s="22"/>
      <c r="D170" s="21"/>
      <c r="E170" s="21"/>
      <c r="F170" s="21"/>
      <c r="G170" s="21"/>
    </row>
    <row r="171" customFormat="false" ht="19.5" hidden="false" customHeight="true" outlineLevel="0" collapsed="false">
      <c r="A171" s="37"/>
      <c r="B171" s="25"/>
      <c r="C171" s="26"/>
      <c r="D171" s="25"/>
      <c r="E171" s="25"/>
      <c r="F171" s="25"/>
      <c r="G171" s="25"/>
    </row>
    <row r="172" customFormat="false" ht="19.5" hidden="false" customHeight="true" outlineLevel="0" collapsed="false">
      <c r="A172" s="38"/>
      <c r="B172" s="21"/>
      <c r="C172" s="22"/>
      <c r="D172" s="21"/>
      <c r="E172" s="21"/>
      <c r="F172" s="21"/>
      <c r="G172" s="21"/>
    </row>
    <row r="173" customFormat="false" ht="19.5" hidden="false" customHeight="true" outlineLevel="0" collapsed="false">
      <c r="A173" s="37"/>
      <c r="B173" s="25"/>
      <c r="C173" s="26"/>
      <c r="D173" s="25"/>
      <c r="E173" s="25"/>
      <c r="F173" s="25"/>
      <c r="G173" s="25"/>
    </row>
    <row r="174" customFormat="false" ht="19.5" hidden="false" customHeight="true" outlineLevel="0" collapsed="false">
      <c r="A174" s="38"/>
      <c r="B174" s="21"/>
      <c r="C174" s="22"/>
      <c r="D174" s="21"/>
      <c r="E174" s="21"/>
      <c r="F174" s="21"/>
      <c r="G174" s="21"/>
    </row>
    <row r="175" customFormat="false" ht="19.5" hidden="false" customHeight="true" outlineLevel="0" collapsed="false">
      <c r="A175" s="37"/>
      <c r="B175" s="25"/>
      <c r="C175" s="26"/>
      <c r="D175" s="25"/>
      <c r="E175" s="25"/>
      <c r="F175" s="25"/>
      <c r="G175" s="25"/>
    </row>
    <row r="176" customFormat="false" ht="19.5" hidden="false" customHeight="true" outlineLevel="0" collapsed="false">
      <c r="A176" s="38"/>
      <c r="B176" s="21"/>
      <c r="C176" s="22"/>
      <c r="D176" s="21"/>
      <c r="E176" s="21"/>
      <c r="F176" s="21"/>
      <c r="G176" s="21"/>
    </row>
    <row r="177" customFormat="false" ht="19.5" hidden="false" customHeight="true" outlineLevel="0" collapsed="false">
      <c r="A177" s="37"/>
      <c r="B177" s="25"/>
      <c r="C177" s="26"/>
      <c r="D177" s="25"/>
      <c r="E177" s="25"/>
      <c r="F177" s="25"/>
      <c r="G177" s="25"/>
    </row>
    <row r="178" customFormat="false" ht="19.5" hidden="false" customHeight="true" outlineLevel="0" collapsed="false">
      <c r="A178" s="38"/>
      <c r="B178" s="21"/>
      <c r="C178" s="22"/>
      <c r="D178" s="21"/>
      <c r="E178" s="21"/>
      <c r="F178" s="21"/>
      <c r="G178" s="21"/>
    </row>
    <row r="179" customFormat="false" ht="19.5" hidden="false" customHeight="true" outlineLevel="0" collapsed="false">
      <c r="A179" s="37"/>
      <c r="B179" s="25"/>
      <c r="C179" s="26"/>
      <c r="D179" s="25"/>
      <c r="E179" s="25"/>
      <c r="F179" s="25"/>
      <c r="G179" s="25"/>
    </row>
    <row r="180" customFormat="false" ht="19.5" hidden="false" customHeight="true" outlineLevel="0" collapsed="false">
      <c r="A180" s="38"/>
      <c r="B180" s="21"/>
      <c r="C180" s="22"/>
      <c r="D180" s="21"/>
      <c r="E180" s="21"/>
      <c r="F180" s="21"/>
      <c r="G180" s="21"/>
    </row>
    <row r="181" customFormat="false" ht="19.5" hidden="false" customHeight="true" outlineLevel="0" collapsed="false">
      <c r="A181" s="37"/>
      <c r="B181" s="25"/>
      <c r="C181" s="26"/>
      <c r="D181" s="25"/>
      <c r="E181" s="25"/>
      <c r="F181" s="25"/>
      <c r="G181" s="25"/>
    </row>
    <row r="182" customFormat="false" ht="19.5" hidden="false" customHeight="true" outlineLevel="0" collapsed="false">
      <c r="A182" s="38"/>
      <c r="B182" s="21"/>
      <c r="C182" s="22"/>
      <c r="D182" s="21"/>
      <c r="E182" s="21"/>
      <c r="F182" s="21"/>
      <c r="G182" s="21"/>
    </row>
    <row r="183" customFormat="false" ht="19.5" hidden="false" customHeight="true" outlineLevel="0" collapsed="false">
      <c r="A183" s="37"/>
      <c r="B183" s="25"/>
      <c r="C183" s="26"/>
      <c r="D183" s="25"/>
      <c r="E183" s="25"/>
      <c r="F183" s="25"/>
      <c r="G183" s="25"/>
    </row>
    <row r="184" customFormat="false" ht="19.5" hidden="false" customHeight="true" outlineLevel="0" collapsed="false">
      <c r="A184" s="38"/>
      <c r="B184" s="21"/>
      <c r="C184" s="22"/>
      <c r="D184" s="21"/>
      <c r="E184" s="21"/>
      <c r="F184" s="21"/>
      <c r="G184" s="21"/>
    </row>
    <row r="185" customFormat="false" ht="19.5" hidden="false" customHeight="true" outlineLevel="0" collapsed="false">
      <c r="A185" s="37"/>
      <c r="B185" s="25"/>
      <c r="C185" s="26"/>
      <c r="D185" s="25"/>
      <c r="E185" s="25"/>
      <c r="F185" s="25"/>
      <c r="G185" s="25"/>
    </row>
    <row r="186" customFormat="false" ht="19.5" hidden="false" customHeight="true" outlineLevel="0" collapsed="false">
      <c r="A186" s="38"/>
      <c r="B186" s="21"/>
      <c r="C186" s="22"/>
      <c r="D186" s="21"/>
      <c r="E186" s="21"/>
      <c r="F186" s="21"/>
      <c r="G186" s="21"/>
    </row>
    <row r="187" customFormat="false" ht="19.5" hidden="false" customHeight="true" outlineLevel="0" collapsed="false">
      <c r="A187" s="37"/>
      <c r="B187" s="25"/>
      <c r="C187" s="26"/>
      <c r="D187" s="25"/>
      <c r="E187" s="25"/>
      <c r="F187" s="25"/>
      <c r="G187" s="25"/>
    </row>
    <row r="188" customFormat="false" ht="19.5" hidden="false" customHeight="true" outlineLevel="0" collapsed="false">
      <c r="A188" s="38"/>
      <c r="B188" s="21"/>
      <c r="C188" s="22"/>
      <c r="D188" s="21"/>
      <c r="E188" s="21"/>
      <c r="F188" s="21"/>
      <c r="G188" s="21"/>
    </row>
    <row r="189" customFormat="false" ht="19.5" hidden="false" customHeight="true" outlineLevel="0" collapsed="false">
      <c r="A189" s="37"/>
      <c r="B189" s="25"/>
      <c r="C189" s="26"/>
      <c r="D189" s="25"/>
      <c r="E189" s="25"/>
      <c r="F189" s="25"/>
      <c r="G189" s="25"/>
    </row>
    <row r="190" customFormat="false" ht="19.5" hidden="false" customHeight="true" outlineLevel="0" collapsed="false">
      <c r="A190" s="38"/>
      <c r="B190" s="21"/>
      <c r="C190" s="22"/>
      <c r="D190" s="21"/>
      <c r="E190" s="21"/>
      <c r="F190" s="21"/>
      <c r="G190" s="21"/>
    </row>
    <row r="191" customFormat="false" ht="19.5" hidden="false" customHeight="true" outlineLevel="0" collapsed="false">
      <c r="A191" s="37"/>
      <c r="B191" s="25"/>
      <c r="C191" s="26"/>
      <c r="D191" s="25"/>
      <c r="E191" s="25"/>
      <c r="F191" s="25"/>
      <c r="G191" s="25"/>
    </row>
    <row r="192" customFormat="false" ht="19.5" hidden="false" customHeight="true" outlineLevel="0" collapsed="false">
      <c r="A192" s="38"/>
      <c r="B192" s="21"/>
      <c r="C192" s="22"/>
      <c r="D192" s="21"/>
      <c r="E192" s="21"/>
      <c r="F192" s="21"/>
      <c r="G192" s="21"/>
    </row>
    <row r="193" customFormat="false" ht="19.5" hidden="false" customHeight="true" outlineLevel="0" collapsed="false">
      <c r="A193" s="37"/>
      <c r="B193" s="25"/>
      <c r="C193" s="26"/>
      <c r="D193" s="25"/>
      <c r="E193" s="25"/>
      <c r="F193" s="25"/>
      <c r="G193" s="25"/>
    </row>
    <row r="194" customFormat="false" ht="19.5" hidden="false" customHeight="true" outlineLevel="0" collapsed="false">
      <c r="A194" s="38"/>
      <c r="B194" s="21"/>
      <c r="C194" s="22"/>
      <c r="D194" s="21"/>
      <c r="E194" s="21"/>
      <c r="F194" s="21"/>
      <c r="G194" s="21"/>
    </row>
    <row r="195" customFormat="false" ht="19.5" hidden="false" customHeight="true" outlineLevel="0" collapsed="false">
      <c r="A195" s="37"/>
      <c r="B195" s="25"/>
      <c r="C195" s="26"/>
      <c r="D195" s="25"/>
      <c r="E195" s="25"/>
      <c r="F195" s="25"/>
      <c r="G195" s="25"/>
    </row>
    <row r="196" customFormat="false" ht="19.5" hidden="false" customHeight="true" outlineLevel="0" collapsed="false">
      <c r="A196" s="38"/>
      <c r="B196" s="21"/>
      <c r="C196" s="22"/>
      <c r="D196" s="21"/>
      <c r="E196" s="21"/>
      <c r="F196" s="21"/>
      <c r="G196" s="21"/>
    </row>
    <row r="197" customFormat="false" ht="19.5" hidden="false" customHeight="true" outlineLevel="0" collapsed="false">
      <c r="A197" s="37"/>
      <c r="B197" s="25"/>
      <c r="C197" s="26"/>
      <c r="D197" s="25"/>
      <c r="E197" s="25"/>
      <c r="F197" s="25"/>
      <c r="G197" s="25"/>
    </row>
    <row r="198" customFormat="false" ht="19.5" hidden="false" customHeight="true" outlineLevel="0" collapsed="false">
      <c r="A198" s="38"/>
      <c r="B198" s="21"/>
      <c r="C198" s="22"/>
      <c r="D198" s="21"/>
      <c r="E198" s="21"/>
      <c r="F198" s="21"/>
      <c r="G198" s="21"/>
    </row>
    <row r="199" customFormat="false" ht="19.5" hidden="false" customHeight="true" outlineLevel="0" collapsed="false">
      <c r="A199" s="37"/>
      <c r="B199" s="25"/>
      <c r="C199" s="26"/>
      <c r="D199" s="25"/>
      <c r="E199" s="25"/>
      <c r="F199" s="25"/>
      <c r="G199" s="25"/>
    </row>
    <row r="200" customFormat="false" ht="19.5" hidden="false" customHeight="true" outlineLevel="0" collapsed="false">
      <c r="A200" s="38"/>
      <c r="B200" s="21"/>
      <c r="C200" s="22"/>
      <c r="D200" s="21"/>
      <c r="E200" s="21"/>
      <c r="F200" s="21"/>
      <c r="G200" s="21"/>
    </row>
    <row r="201" customFormat="false" ht="19.5" hidden="false" customHeight="true" outlineLevel="0" collapsed="false">
      <c r="A201" s="37"/>
      <c r="B201" s="25"/>
      <c r="C201" s="26"/>
      <c r="D201" s="25"/>
      <c r="E201" s="25"/>
      <c r="F201" s="25"/>
      <c r="G201" s="25"/>
    </row>
    <row r="202" customFormat="false" ht="19.5" hidden="false" customHeight="true" outlineLevel="0" collapsed="false">
      <c r="A202" s="38"/>
      <c r="B202" s="21"/>
      <c r="C202" s="22"/>
      <c r="D202" s="21"/>
      <c r="E202" s="21"/>
      <c r="F202" s="21"/>
      <c r="G202" s="21"/>
    </row>
    <row r="203" customFormat="false" ht="19.5" hidden="false" customHeight="true" outlineLevel="0" collapsed="false">
      <c r="A203" s="37"/>
      <c r="B203" s="25"/>
      <c r="C203" s="26"/>
      <c r="D203" s="25"/>
      <c r="E203" s="25"/>
      <c r="F203" s="25"/>
      <c r="G203" s="25"/>
    </row>
    <row r="204" customFormat="false" ht="19.5" hidden="false" customHeight="true" outlineLevel="0" collapsed="false">
      <c r="A204" s="38"/>
      <c r="B204" s="21"/>
      <c r="C204" s="22"/>
      <c r="D204" s="21"/>
      <c r="E204" s="21"/>
      <c r="F204" s="21"/>
      <c r="G204" s="21"/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D5:D1204" type="list">
      <formula1>"Captura transferencia,Captura MP,Comprobante PDF,Factura,Recibo,Otro"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6A03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39.75" hidden="false" customHeight="true" outlineLevel="0" collapsed="false">
      <c r="A1" s="43" t="s">
        <v>99</v>
      </c>
      <c r="B1" s="43"/>
      <c r="C1" s="43"/>
    </row>
    <row r="2" customFormat="false" ht="27.75" hidden="false" customHeight="true" outlineLevel="0" collapsed="false">
      <c r="A2" s="44" t="s">
        <v>100</v>
      </c>
      <c r="B2" s="44"/>
      <c r="C2" s="44"/>
    </row>
    <row r="3" customFormat="false" ht="21.75" hidden="false" customHeight="true" outlineLevel="0" collapsed="false">
      <c r="B3" s="45" t="s">
        <v>101</v>
      </c>
      <c r="C3" s="24" t="s">
        <v>102</v>
      </c>
    </row>
    <row r="4" customFormat="false" ht="21.75" hidden="false" customHeight="true" outlineLevel="0" collapsed="false">
      <c r="B4" s="46" t="s">
        <v>103</v>
      </c>
      <c r="C4" s="20" t="s">
        <v>104</v>
      </c>
    </row>
    <row r="5" customFormat="false" ht="21.75" hidden="false" customHeight="true" outlineLevel="0" collapsed="false">
      <c r="B5" s="45" t="s">
        <v>105</v>
      </c>
      <c r="C5" s="24" t="s">
        <v>106</v>
      </c>
    </row>
    <row r="6" customFormat="false" ht="21.75" hidden="false" customHeight="true" outlineLevel="0" collapsed="false">
      <c r="B6" s="46" t="s">
        <v>107</v>
      </c>
      <c r="C6" s="20" t="s">
        <v>108</v>
      </c>
    </row>
    <row r="7" customFormat="false" ht="21.75" hidden="false" customHeight="true" outlineLevel="0" collapsed="false">
      <c r="B7" s="45" t="s">
        <v>109</v>
      </c>
      <c r="C7" s="24" t="s">
        <v>110</v>
      </c>
    </row>
    <row r="8" customFormat="false" ht="21.75" hidden="false" customHeight="true" outlineLevel="0" collapsed="false">
      <c r="B8" s="46" t="s">
        <v>111</v>
      </c>
      <c r="C8" s="20" t="s">
        <v>112</v>
      </c>
    </row>
    <row r="9" customFormat="false" ht="21.75" hidden="false" customHeight="true" outlineLevel="0" collapsed="false">
      <c r="B9" s="45" t="s">
        <v>113</v>
      </c>
      <c r="C9" s="24" t="s">
        <v>114</v>
      </c>
    </row>
    <row r="10" customFormat="false" ht="21.75" hidden="false" customHeight="true" outlineLevel="0" collapsed="false">
      <c r="B10" s="46" t="s">
        <v>115</v>
      </c>
      <c r="C10" s="20" t="s">
        <v>116</v>
      </c>
    </row>
    <row r="11" customFormat="false" ht="27.75" hidden="false" customHeight="true" outlineLevel="0" collapsed="false">
      <c r="A11" s="47" t="s">
        <v>117</v>
      </c>
      <c r="B11" s="47"/>
      <c r="C11" s="47"/>
    </row>
    <row r="12" customFormat="false" ht="21.75" hidden="false" customHeight="true" outlineLevel="0" collapsed="false">
      <c r="B12" s="46" t="s">
        <v>118</v>
      </c>
      <c r="C12" s="20" t="s">
        <v>119</v>
      </c>
    </row>
    <row r="13" customFormat="false" ht="21.75" hidden="false" customHeight="true" outlineLevel="0" collapsed="false">
      <c r="B13" s="45" t="s">
        <v>120</v>
      </c>
      <c r="C13" s="24" t="s">
        <v>121</v>
      </c>
    </row>
    <row r="14" customFormat="false" ht="21.75" hidden="false" customHeight="true" outlineLevel="0" collapsed="false">
      <c r="B14" s="46" t="s">
        <v>122</v>
      </c>
      <c r="C14" s="20" t="s">
        <v>123</v>
      </c>
    </row>
    <row r="15" customFormat="false" ht="21.75" hidden="false" customHeight="true" outlineLevel="0" collapsed="false">
      <c r="B15" s="45" t="s">
        <v>124</v>
      </c>
      <c r="C15" s="24" t="s">
        <v>125</v>
      </c>
    </row>
    <row r="16" customFormat="false" ht="21.75" hidden="false" customHeight="true" outlineLevel="0" collapsed="false">
      <c r="B16" s="46" t="s">
        <v>126</v>
      </c>
      <c r="C16" s="20" t="s">
        <v>127</v>
      </c>
    </row>
    <row r="17" customFormat="false" ht="21.75" hidden="false" customHeight="true" outlineLevel="0" collapsed="false">
      <c r="B17" s="45" t="s">
        <v>128</v>
      </c>
      <c r="C17" s="24" t="s">
        <v>129</v>
      </c>
    </row>
    <row r="18" customFormat="false" ht="27.75" hidden="false" customHeight="true" outlineLevel="0" collapsed="false">
      <c r="A18" s="48" t="s">
        <v>130</v>
      </c>
      <c r="B18" s="48"/>
      <c r="C18" s="48"/>
    </row>
    <row r="19" customFormat="false" ht="21.75" hidden="false" customHeight="true" outlineLevel="0" collapsed="false">
      <c r="B19" s="45" t="s">
        <v>131</v>
      </c>
      <c r="C19" s="24" t="s">
        <v>132</v>
      </c>
    </row>
    <row r="20" customFormat="false" ht="21.75" hidden="false" customHeight="true" outlineLevel="0" collapsed="false">
      <c r="B20" s="46" t="s">
        <v>133</v>
      </c>
      <c r="C20" s="20" t="s">
        <v>134</v>
      </c>
    </row>
    <row r="21" customFormat="false" ht="21.75" hidden="false" customHeight="true" outlineLevel="0" collapsed="false">
      <c r="B21" s="45" t="s">
        <v>135</v>
      </c>
      <c r="C21" s="24" t="s">
        <v>136</v>
      </c>
    </row>
    <row r="22" customFormat="false" ht="27.75" hidden="false" customHeight="true" outlineLevel="0" collapsed="false">
      <c r="A22" s="49" t="s">
        <v>137</v>
      </c>
      <c r="B22" s="49"/>
      <c r="C22" s="49"/>
    </row>
    <row r="23" customFormat="false" ht="21.75" hidden="false" customHeight="true" outlineLevel="0" collapsed="false">
      <c r="B23" s="45" t="s">
        <v>138</v>
      </c>
      <c r="C23" s="24" t="s">
        <v>139</v>
      </c>
    </row>
    <row r="24" customFormat="false" ht="21.75" hidden="false" customHeight="true" outlineLevel="0" collapsed="false">
      <c r="B24" s="46" t="s">
        <v>140</v>
      </c>
      <c r="C24" s="20" t="s">
        <v>141</v>
      </c>
    </row>
    <row r="25" customFormat="false" ht="21.75" hidden="false" customHeight="true" outlineLevel="0" collapsed="false">
      <c r="B25" s="45" t="s">
        <v>142</v>
      </c>
      <c r="C25" s="24" t="s">
        <v>143</v>
      </c>
    </row>
    <row r="26" customFormat="false" ht="21.75" hidden="false" customHeight="true" outlineLevel="0" collapsed="false">
      <c r="B26" s="46" t="s">
        <v>144</v>
      </c>
      <c r="C26" s="20" t="s">
        <v>145</v>
      </c>
    </row>
  </sheetData>
  <mergeCells count="5">
    <mergeCell ref="A1:C1"/>
    <mergeCell ref="A2:C2"/>
    <mergeCell ref="A11:C11"/>
    <mergeCell ref="A18:C18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2026-06-06T00:03:52Z</dcterms:created>
  <dc:creator>openpyxl</dc:creator>
  <dc:description/>
  <dc:language>en-US</dc:language>
  <cp:lastModifiedBy/>
  <dcterms:modified xsi:type="dcterms:W3CDTF">2026-06-06T00:03:52Z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